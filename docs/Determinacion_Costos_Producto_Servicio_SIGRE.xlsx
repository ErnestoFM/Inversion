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o de Costos y Precios" sheetId="1" state="visible" r:id="rId1"/>
    <sheet xmlns:r="http://schemas.openxmlformats.org/officeDocument/2006/relationships" name="Economía de Escala y PE" sheetId="2" state="visible" r:id="rId2"/>
    <sheet xmlns:r="http://schemas.openxmlformats.org/officeDocument/2006/relationships" name="Criterios y Pareto" sheetId="3" state="visible" r:id="rId3"/>
    <sheet xmlns:r="http://schemas.openxmlformats.org/officeDocument/2006/relationships" name="Cuantificación y Benchmarking" sheetId="4" state="visible" r:id="rId4"/>
    <sheet xmlns:r="http://schemas.openxmlformats.org/officeDocument/2006/relationships" name="Marco Lógico (MML)" sheetId="5" state="visible" r:id="rId5"/>
    <sheet xmlns:r="http://schemas.openxmlformats.org/officeDocument/2006/relationships" name="Cronograma e Inversión Año 1" sheetId="6" state="visible" r:id="rId6"/>
    <sheet xmlns:r="http://schemas.openxmlformats.org/officeDocument/2006/relationships" name="Estado de Resultados Pro Forma" sheetId="7" state="visible" r:id="rId7"/>
    <sheet xmlns:r="http://schemas.openxmlformats.org/officeDocument/2006/relationships" name="Flujo de Efectivo Mensual" sheetId="8" state="visible" r:id="rId8"/>
    <sheet xmlns:r="http://schemas.openxmlformats.org/officeDocument/2006/relationships" name="Análisis de Sensibilidad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"/>
    <numFmt numFmtId="165" formatCode="$#,##0.00"/>
    <numFmt numFmtId="166" formatCode="0.0%"/>
    <numFmt numFmtId="167" formatCode="0.0 'dependencias'"/>
    <numFmt numFmtId="168" formatCode="0.0"/>
  </numFmts>
  <fonts count="21">
    <font>
      <name val="Calibri"/>
      <family val="2"/>
      <color theme="1"/>
      <sz val="11"/>
      <scheme val="minor"/>
    </font>
    <font>
      <name val="Calibri"/>
      <b val="1"/>
      <color rgb="0064748B"/>
      <sz val="11"/>
    </font>
    <font>
      <name val="Calibri"/>
      <b val="1"/>
      <color rgb="001E3A8A"/>
      <sz val="14"/>
    </font>
    <font>
      <name val="Calibri"/>
      <i val="1"/>
      <color rgb="00475569"/>
      <sz val="11"/>
    </font>
    <font>
      <name val="Calibri"/>
      <b val="1"/>
      <color rgb="001E3A8A"/>
      <sz val="11"/>
    </font>
    <font>
      <name val="Calibri"/>
      <b val="1"/>
      <color rgb="002563EB"/>
      <sz val="10"/>
    </font>
    <font>
      <name val="Calibri"/>
      <b val="1"/>
      <color rgb="00FFFFFF"/>
      <sz val="11"/>
    </font>
    <font>
      <name val="Calibri"/>
      <color rgb="000F172A"/>
      <sz val="10"/>
    </font>
    <font>
      <name val="Calibri"/>
      <b val="1"/>
      <color rgb="000F172A"/>
      <sz val="10"/>
    </font>
    <font>
      <name val="Calibri"/>
      <b val="1"/>
      <color rgb="00FFFFFF"/>
      <sz val="10"/>
    </font>
    <font>
      <name val="Calibri"/>
      <b val="1"/>
      <color rgb="000F172A"/>
      <sz val="11"/>
    </font>
    <font>
      <name val="Calibri"/>
      <b val="1"/>
      <color rgb="002563EB"/>
      <sz val="11"/>
    </font>
    <font>
      <name val="Calibri"/>
      <b val="1"/>
      <color rgb="0010B981"/>
      <sz val="10"/>
    </font>
    <font>
      <name val="Calibri"/>
      <b val="1"/>
      <color rgb="00EF4444"/>
      <sz val="9"/>
    </font>
    <font>
      <name val="Calibri"/>
      <color rgb="00EF4444"/>
      <sz val="9"/>
    </font>
    <font>
      <name val="Calibri"/>
      <b val="1"/>
      <color rgb="00B45309"/>
      <sz val="9"/>
    </font>
    <font>
      <name val="Calibri"/>
      <b val="1"/>
      <color rgb="0010B981"/>
      <sz val="9"/>
    </font>
    <font>
      <name val="Calibri"/>
      <color rgb="0010B981"/>
      <sz val="9"/>
    </font>
    <font>
      <name val="Calibri"/>
      <b val="1"/>
      <color rgb="001E3A8A"/>
      <sz val="9.5"/>
    </font>
    <font>
      <name val="Calibri"/>
      <i val="1"/>
      <color rgb="0064748B"/>
      <sz val="8.5"/>
    </font>
    <font>
      <name val="Calibri"/>
      <b val="1"/>
      <color rgb="001E3A8A"/>
      <sz val="10"/>
    </font>
  </fonts>
  <fills count="9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EF08A"/>
        <bgColor rgb="00FEF08A"/>
      </patternFill>
    </fill>
    <fill>
      <patternFill patternType="solid">
        <fgColor rgb="00DBEAFE"/>
        <bgColor rgb="00DBEAFE"/>
      </patternFill>
    </fill>
    <fill>
      <patternFill patternType="solid">
        <fgColor rgb="002563EB"/>
        <bgColor rgb="002563EB"/>
      </patternFill>
    </fill>
    <fill>
      <patternFill patternType="solid">
        <fgColor rgb="00DCFCE7"/>
        <bgColor rgb="00DCFCE7"/>
      </patternFill>
    </fill>
    <fill>
      <patternFill patternType="solid">
        <fgColor rgb="00E2E8F0"/>
        <bgColor rgb="00E2E8F0"/>
      </patternFill>
    </fill>
    <fill>
      <patternFill patternType="solid">
        <fgColor rgb="00FEE2E2"/>
        <bgColor rgb="00FEE2E2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medium">
        <color rgb="000F172A"/>
      </top>
      <bottom style="double">
        <color rgb="000F172A"/>
      </bottom>
    </border>
  </borders>
  <cellStyleXfs count="1">
    <xf numFmtId="0" fontId="0" fillId="0" borderId="0"/>
  </cellStyleXfs>
  <cellXfs count="8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8" fillId="0" borderId="0" pivotButton="0" quotePrefix="0" xfId="0"/>
    <xf numFmtId="165" fontId="4" fillId="6" borderId="1" pivotButton="0" quotePrefix="0" xfId="0"/>
    <xf numFmtId="0" fontId="6" fillId="2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  <xf numFmtId="164" fontId="7" fillId="0" borderId="1" pivotButton="0" quotePrefix="0" xfId="0"/>
    <xf numFmtId="165" fontId="7" fillId="0" borderId="1" pivotButton="0" quotePrefix="0" xfId="0"/>
    <xf numFmtId="0" fontId="8" fillId="7" borderId="1" applyAlignment="1" pivotButton="0" quotePrefix="0" xfId="0">
      <alignment horizontal="center" vertical="center"/>
    </xf>
    <xf numFmtId="165" fontId="10" fillId="0" borderId="1" applyAlignment="1" pivotButton="0" quotePrefix="0" xfId="0">
      <alignment horizontal="right" vertical="center"/>
    </xf>
    <xf numFmtId="165" fontId="11" fillId="0" borderId="1" applyAlignment="1" pivotButton="0" quotePrefix="0" xfId="0">
      <alignment horizontal="right" vertical="center"/>
    </xf>
    <xf numFmtId="0" fontId="8" fillId="0" borderId="2" pivotButton="0" quotePrefix="0" xfId="0"/>
    <xf numFmtId="0" fontId="0" fillId="0" borderId="2" pivotButton="0" quotePrefix="0" xfId="0"/>
    <xf numFmtId="164" fontId="8" fillId="0" borderId="2" pivotButton="0" quotePrefix="0" xfId="0"/>
    <xf numFmtId="165" fontId="8" fillId="3" borderId="2" pivotButton="0" quotePrefix="0" xfId="0"/>
    <xf numFmtId="165" fontId="8" fillId="4" borderId="2" pivotButton="0" quotePrefix="0" xfId="0"/>
    <xf numFmtId="0" fontId="6" fillId="5" borderId="1" applyAlignment="1" pivotButton="0" quotePrefix="0" xfId="0">
      <alignment horizontal="center" vertical="center"/>
    </xf>
    <xf numFmtId="164" fontId="8" fillId="3" borderId="2" pivotButton="0" quotePrefix="0" xfId="0"/>
    <xf numFmtId="0" fontId="8" fillId="4" borderId="1" applyAlignment="1" pivotButton="0" quotePrefix="0" xfId="0">
      <alignment horizontal="center" vertical="center"/>
    </xf>
    <xf numFmtId="165" fontId="8" fillId="4" borderId="1" pivotButton="0" quotePrefix="0" xfId="0"/>
    <xf numFmtId="165" fontId="12" fillId="6" borderId="1" pivotButton="0" quotePrefix="0" xfId="0"/>
    <xf numFmtId="0" fontId="9" fillId="2" borderId="0" applyAlignment="1" pivotButton="0" quotePrefix="0" xfId="0">
      <alignment horizontal="center" vertical="center"/>
    </xf>
    <xf numFmtId="0" fontId="7" fillId="0" borderId="1" pivotButton="0" quotePrefix="0" xfId="0"/>
    <xf numFmtId="165" fontId="8" fillId="0" borderId="2" applyAlignment="1" pivotButton="0" quotePrefix="0" xfId="0">
      <alignment horizontal="right" vertical="center"/>
    </xf>
    <xf numFmtId="165" fontId="8" fillId="3" borderId="2" applyAlignment="1" pivotButton="0" quotePrefix="0" xfId="0">
      <alignment horizontal="right" vertical="center"/>
    </xf>
    <xf numFmtId="0" fontId="8" fillId="2" borderId="1" pivotButton="0" quotePrefix="0" xfId="0"/>
    <xf numFmtId="165" fontId="8" fillId="4" borderId="1" applyAlignment="1" pivotButton="0" quotePrefix="0" xfId="0">
      <alignment horizontal="right" vertical="center"/>
    </xf>
    <xf numFmtId="0" fontId="6" fillId="2" borderId="0" applyAlignment="1" pivotButton="0" quotePrefix="0" xfId="0">
      <alignment horizontal="center" vertical="center"/>
    </xf>
    <xf numFmtId="165" fontId="0" fillId="0" borderId="1" applyAlignment="1" pivotButton="0" quotePrefix="0" xfId="0">
      <alignment horizontal="right" vertical="center"/>
    </xf>
    <xf numFmtId="165" fontId="14" fillId="0" borderId="1" pivotButton="0" quotePrefix="0" xfId="0"/>
    <xf numFmtId="0" fontId="13" fillId="0" borderId="1" applyAlignment="1" pivotButton="0" quotePrefix="0" xfId="0">
      <alignment horizontal="center" vertical="center"/>
    </xf>
    <xf numFmtId="0" fontId="8" fillId="0" borderId="1" pivotButton="0" quotePrefix="0" xfId="0"/>
    <xf numFmtId="166" fontId="8" fillId="0" borderId="1" applyAlignment="1" pivotButton="0" quotePrefix="0" xfId="0">
      <alignment horizontal="right" vertical="center"/>
    </xf>
    <xf numFmtId="0" fontId="7" fillId="3" borderId="1" applyAlignment="1" pivotButton="0" quotePrefix="0" xfId="0">
      <alignment horizontal="center" vertical="center"/>
    </xf>
    <xf numFmtId="164" fontId="7" fillId="3" borderId="1" pivotButton="0" quotePrefix="0" xfId="0"/>
    <xf numFmtId="165" fontId="7" fillId="3" borderId="1" pivotButton="0" quotePrefix="0" xfId="0"/>
    <xf numFmtId="0" fontId="15" fillId="3" borderId="1" applyAlignment="1" pivotButton="0" quotePrefix="0" xfId="0">
      <alignment horizontal="center" vertical="center"/>
    </xf>
    <xf numFmtId="167" fontId="4" fillId="3" borderId="1" applyAlignment="1" pivotButton="0" quotePrefix="0" xfId="0">
      <alignment horizontal="right" vertical="center"/>
    </xf>
    <xf numFmtId="165" fontId="17" fillId="0" borderId="1" pivotButton="0" quotePrefix="0" xfId="0"/>
    <xf numFmtId="0" fontId="16" fillId="0" borderId="1" applyAlignment="1" pivotButton="0" quotePrefix="0" xfId="0">
      <alignment horizontal="center" vertical="center"/>
    </xf>
    <xf numFmtId="165" fontId="4" fillId="6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right" vertical="center"/>
    </xf>
    <xf numFmtId="166" fontId="7" fillId="0" borderId="1" applyAlignment="1" pivotButton="0" quotePrefix="0" xfId="0">
      <alignment horizontal="center" vertical="center"/>
    </xf>
    <xf numFmtId="0" fontId="18" fillId="4" borderId="1" applyAlignment="1" pivotButton="0" quotePrefix="0" xfId="0">
      <alignment horizontal="center" vertical="center"/>
    </xf>
    <xf numFmtId="165" fontId="8" fillId="6" borderId="2" pivotButton="0" quotePrefix="0" xfId="0"/>
    <xf numFmtId="166" fontId="8" fillId="0" borderId="2" pivotButton="0" quotePrefix="0" xfId="0"/>
    <xf numFmtId="1" fontId="7" fillId="0" borderId="1" applyAlignment="1" pivotButton="0" quotePrefix="0" xfId="0">
      <alignment horizontal="center" vertical="center"/>
    </xf>
    <xf numFmtId="3" fontId="7" fillId="0" borderId="1" applyAlignment="1" pivotButton="0" quotePrefix="0" xfId="0">
      <alignment horizontal="center" vertical="center"/>
    </xf>
    <xf numFmtId="168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center"/>
    </xf>
    <xf numFmtId="165" fontId="8" fillId="8" borderId="1" applyAlignment="1" pivotButton="0" quotePrefix="0" xfId="0">
      <alignment horizontal="right" vertical="center"/>
    </xf>
    <xf numFmtId="165" fontId="8" fillId="0" borderId="1" applyAlignment="1" pivotButton="0" quotePrefix="0" xfId="0">
      <alignment horizontal="right" vertical="center"/>
    </xf>
    <xf numFmtId="0" fontId="8" fillId="3" borderId="1" applyAlignment="1" pivotButton="0" quotePrefix="0" xfId="0">
      <alignment horizontal="right" vertical="center"/>
    </xf>
    <xf numFmtId="0" fontId="8" fillId="0" borderId="2" applyAlignment="1" pivotButton="0" quotePrefix="0" xfId="0">
      <alignment horizontal="left" vertical="center"/>
    </xf>
    <xf numFmtId="165" fontId="8" fillId="6" borderId="2" applyAlignment="1" pivotButton="0" quotePrefix="0" xfId="0">
      <alignment horizontal="right" vertical="center"/>
    </xf>
    <xf numFmtId="0" fontId="8" fillId="6" borderId="2" applyAlignment="1" pivotButton="0" quotePrefix="0" xfId="0">
      <alignment horizontal="right" vertical="center"/>
    </xf>
    <xf numFmtId="0" fontId="7" fillId="0" borderId="2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164" fontId="8" fillId="7" borderId="2" applyAlignment="1" pivotButton="0" quotePrefix="0" xfId="0">
      <alignment horizontal="center" vertical="center"/>
    </xf>
    <xf numFmtId="165" fontId="8" fillId="3" borderId="1" applyAlignment="1" pivotButton="0" quotePrefix="0" xfId="0">
      <alignment horizontal="right" vertical="center"/>
    </xf>
    <xf numFmtId="165" fontId="8" fillId="6" borderId="1" applyAlignment="1" pivotButton="0" quotePrefix="0" xfId="0">
      <alignment horizontal="right" vertical="center"/>
    </xf>
    <xf numFmtId="165" fontId="8" fillId="8" borderId="2" applyAlignment="1" pivotButton="0" quotePrefix="0" xfId="0">
      <alignment horizontal="right" vertical="center"/>
    </xf>
    <xf numFmtId="164" fontId="8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164" fontId="8" fillId="4" borderId="1" applyAlignment="1" pivotButton="0" quotePrefix="0" xfId="0">
      <alignment horizontal="right" vertical="center"/>
    </xf>
    <xf numFmtId="164" fontId="8" fillId="8" borderId="1" applyAlignment="1" pivotButton="0" quotePrefix="0" xfId="0">
      <alignment horizontal="right" vertical="center"/>
    </xf>
    <xf numFmtId="164" fontId="8" fillId="6" borderId="2" applyAlignment="1" pivotButton="0" quotePrefix="0" xfId="0">
      <alignment horizontal="right" vertical="center"/>
    </xf>
    <xf numFmtId="164" fontId="8" fillId="7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left" vertical="center"/>
    </xf>
    <xf numFmtId="0" fontId="20" fillId="3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left" vertical="center"/>
    </xf>
    <xf numFmtId="0" fontId="8" fillId="6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16</row>
      <rowOff>0</rowOff>
    </from>
    <ext cx="7143750" cy="3048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11</row>
      <rowOff>0</rowOff>
    </from>
    <ext cx="6477000" cy="3619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9" customWidth="1" min="3" max="3"/>
    <col width="17" customWidth="1" min="4" max="4"/>
    <col width="14" customWidth="1" min="5" max="5"/>
    <col width="4" customWidth="1" min="6" max="6"/>
    <col width="20" customWidth="1" min="7" max="7"/>
    <col width="20" customWidth="1" min="8" max="8"/>
    <col width="18" customWidth="1" min="9" max="9"/>
    <col width="18" customWidth="1" min="10" max="10"/>
    <col width="17" customWidth="1" min="11" max="11"/>
    <col width="20" customWidth="1" min="12" max="12"/>
  </cols>
  <sheetData>
    <row r="1">
      <c r="A1" s="1" t="inlineStr">
        <is>
          <t>UNIVERSIDAD DE GUADALAJARA | CENTRO UNIVERSITARIO DE TONALÁ</t>
        </is>
      </c>
    </row>
    <row r="2">
      <c r="A2" s="2" t="inlineStr">
        <is>
          <t>DETERMINACIÓN DEL COSTO DE UN PRODUCTO O SERVICIO — PLATAFORMA SIGRE</t>
        </is>
      </c>
    </row>
    <row r="3">
      <c r="A3" s="3" t="inlineStr">
        <is>
          <t>Alumno: Fierro Meléndez Ernesto Hatuey | Docente: Mtra. Abril Adriana Angulo Sherman | Materia: Formulación y Evaluación de Proyectos</t>
        </is>
      </c>
    </row>
    <row r="5">
      <c r="A5" s="4" t="inlineStr">
        <is>
          <t>Materia prima / Insumos TI</t>
        </is>
      </c>
      <c r="B5" s="5" t="inlineStr">
        <is>
          <t>100 pzas / dependencias</t>
        </is>
      </c>
      <c r="G5" s="6" t="inlineStr">
        <is>
          <t>Costo Total del Lote (100 pzas):</t>
        </is>
      </c>
      <c r="H5" s="7">
        <f>D11+C17+B25+B30</f>
        <v/>
      </c>
    </row>
    <row r="6">
      <c r="A6" s="8" t="inlineStr">
        <is>
          <t>Concepto</t>
        </is>
      </c>
      <c r="B6" s="8" t="inlineStr">
        <is>
          <t>Unidades</t>
        </is>
      </c>
      <c r="C6" s="8" t="inlineStr">
        <is>
          <t>CUnitario (sin iva)</t>
        </is>
      </c>
      <c r="D6" s="8" t="inlineStr">
        <is>
          <t>CTotal(+IVA)</t>
        </is>
      </c>
      <c r="E6" s="8" t="inlineStr">
        <is>
          <t>IVA</t>
        </is>
      </c>
      <c r="G6" s="6" t="inlineStr">
        <is>
          <t>Costo Unitario (1 pza de 100):</t>
        </is>
      </c>
      <c r="H6" s="7">
        <f>H5/100</f>
        <v/>
      </c>
    </row>
    <row r="7">
      <c r="A7" s="9" t="inlineStr">
        <is>
          <t>A (Instancias Cloud Run Compute)</t>
        </is>
      </c>
      <c r="B7" s="10" t="n">
        <v>2</v>
      </c>
      <c r="C7" s="11" t="n">
        <v>500</v>
      </c>
      <c r="D7" s="12">
        <f>B7*C7*1.16</f>
        <v/>
      </c>
      <c r="E7" s="12">
        <f>D7-B7*C7</f>
        <v/>
      </c>
    </row>
    <row r="8">
      <c r="A8" s="9" t="inlineStr">
        <is>
          <t>B (Base de Datos Cloud SQL PostgreSQL)</t>
        </is>
      </c>
      <c r="B8" s="10" t="n">
        <v>1</v>
      </c>
      <c r="C8" s="11" t="n">
        <v>900</v>
      </c>
      <c r="D8" s="12">
        <f>B8*C8*1.16</f>
        <v/>
      </c>
      <c r="E8" s="12">
        <f>D8-B8*C8</f>
        <v/>
      </c>
      <c r="G8" s="13" t="inlineStr">
        <is>
          <t>Precio sin iva</t>
        </is>
      </c>
      <c r="H8" s="13" t="inlineStr">
        <is>
          <t>Precio con iva</t>
        </is>
      </c>
    </row>
    <row r="9">
      <c r="A9" s="9" t="inlineStr">
        <is>
          <t>C (Almacenamiento Cloud Storage)</t>
        </is>
      </c>
      <c r="B9" s="10" t="n">
        <v>2</v>
      </c>
      <c r="C9" s="11" t="n">
        <v>250</v>
      </c>
      <c r="D9" s="12">
        <f>B9*C9*1.16</f>
        <v/>
      </c>
      <c r="E9" s="12">
        <f>D9-B9*C9</f>
        <v/>
      </c>
      <c r="G9" s="14">
        <f>H6*2.5</f>
        <v/>
      </c>
      <c r="H9" s="15">
        <f>G9*1.16</f>
        <v/>
      </c>
    </row>
    <row r="10">
      <c r="A10" s="9" t="inlineStr">
        <is>
          <t>D (API Mensajería Transaccional)</t>
        </is>
      </c>
      <c r="B10" s="10" t="n">
        <v>1</v>
      </c>
      <c r="C10" s="11" t="n">
        <v>266.666667</v>
      </c>
      <c r="D10" s="12">
        <f>B10*C10*1.16</f>
        <v/>
      </c>
      <c r="E10" s="12">
        <f>D10-B10*C10</f>
        <v/>
      </c>
    </row>
    <row r="11">
      <c r="A11" s="16" t="inlineStr">
        <is>
          <t>Total Insumos Directos</t>
        </is>
      </c>
      <c r="B11" s="17" t="n"/>
      <c r="C11" s="18">
        <f>SUM(B7*C7, B8*C8, B9*C9, B10*C10)</f>
        <v/>
      </c>
      <c r="D11" s="19">
        <f>SUM(D7:D10)</f>
        <v/>
      </c>
      <c r="E11" s="20">
        <f>SUM(E7:E10)</f>
        <v/>
      </c>
    </row>
    <row r="12">
      <c r="G12" s="8" t="inlineStr">
        <is>
          <t>Ventas (Unidades)</t>
        </is>
      </c>
      <c r="H12" s="8" t="inlineStr">
        <is>
          <t>Ingresos con IVA</t>
        </is>
      </c>
      <c r="I12" s="8" t="inlineStr">
        <is>
          <t>Costo Asociado</t>
        </is>
      </c>
      <c r="J12" s="8" t="inlineStr">
        <is>
          <t>Ganancia Bruta</t>
        </is>
      </c>
      <c r="K12" s="8" t="inlineStr">
        <is>
          <t>IVA Trasladado</t>
        </is>
      </c>
    </row>
    <row r="13">
      <c r="A13" s="4" t="inlineStr">
        <is>
          <t>Capital humano</t>
        </is>
      </c>
      <c r="G13" s="10" t="n">
        <v>1</v>
      </c>
      <c r="H13" s="12">
        <f>G13*$H$9</f>
        <v/>
      </c>
      <c r="I13" s="12">
        <f>G13*$H$6</f>
        <v/>
      </c>
      <c r="J13" s="12">
        <f>H13-I13</f>
        <v/>
      </c>
      <c r="K13" s="12">
        <f>(H13/1.16)*0.16</f>
        <v/>
      </c>
    </row>
    <row r="14">
      <c r="A14" s="21" t="inlineStr">
        <is>
          <t>Puesto / Especialidad</t>
        </is>
      </c>
      <c r="B14" s="21" t="inlineStr">
        <is>
          <t>Plazas</t>
        </is>
      </c>
      <c r="C14" s="21" t="inlineStr">
        <is>
          <t>Sueldo bruto</t>
        </is>
      </c>
      <c r="D14" s="21" t="inlineStr">
        <is>
          <t>Sueldo - ISR</t>
        </is>
      </c>
      <c r="E14" s="21" t="inlineStr">
        <is>
          <t>ISR</t>
        </is>
      </c>
      <c r="G14" s="10" t="n">
        <v>10</v>
      </c>
      <c r="H14" s="12">
        <f>G14*$H$9</f>
        <v/>
      </c>
      <c r="I14" s="12">
        <f>G14*$H$6</f>
        <v/>
      </c>
      <c r="J14" s="12">
        <f>H14-I14</f>
        <v/>
      </c>
      <c r="K14" s="12">
        <f>(H14/1.16)*0.16</f>
        <v/>
      </c>
    </row>
    <row r="15">
      <c r="A15" s="9" t="inlineStr">
        <is>
          <t>Persona 1 (DevOps y Arquitectura Cloud)</t>
        </is>
      </c>
      <c r="B15" s="10" t="n">
        <v>1</v>
      </c>
      <c r="C15" s="11" t="n">
        <v>7500</v>
      </c>
      <c r="D15" s="11">
        <f>C15-E15</f>
        <v/>
      </c>
      <c r="E15" s="11" t="n">
        <v>900</v>
      </c>
      <c r="G15" s="10" t="n">
        <v>20</v>
      </c>
      <c r="H15" s="12">
        <f>G15*$H$9</f>
        <v/>
      </c>
      <c r="I15" s="12">
        <f>G15*$H$6</f>
        <v/>
      </c>
      <c r="J15" s="12">
        <f>H15-I15</f>
        <v/>
      </c>
      <c r="K15" s="12">
        <f>(H15/1.16)*0.16</f>
        <v/>
      </c>
    </row>
    <row r="16">
      <c r="A16" s="9" t="inlineStr">
        <is>
          <t>Persona 2 (Soporte Técnico Almacenes y QA)</t>
        </is>
      </c>
      <c r="B16" s="10" t="n">
        <v>1</v>
      </c>
      <c r="C16" s="11" t="n">
        <v>3333.333333</v>
      </c>
      <c r="D16" s="11">
        <f>C16-E16</f>
        <v/>
      </c>
      <c r="E16" s="11" t="n">
        <v>400</v>
      </c>
      <c r="G16" s="10" t="n">
        <v>50</v>
      </c>
      <c r="H16" s="12">
        <f>G16*$H$9</f>
        <v/>
      </c>
      <c r="I16" s="12">
        <f>G16*$H$6</f>
        <v/>
      </c>
      <c r="J16" s="12">
        <f>H16-I16</f>
        <v/>
      </c>
      <c r="K16" s="12">
        <f>(H16/1.16)*0.16</f>
        <v/>
      </c>
    </row>
    <row r="17">
      <c r="A17" s="16" t="inlineStr">
        <is>
          <t>Total Capital Humano</t>
        </is>
      </c>
      <c r="B17" s="17" t="n"/>
      <c r="C17" s="22">
        <f>SUM(C15:C16)</f>
        <v/>
      </c>
      <c r="D17" s="18">
        <f>SUM(D15:D16)</f>
        <v/>
      </c>
      <c r="E17" s="18">
        <f>SUM(E15:E16)</f>
        <v/>
      </c>
      <c r="G17" s="10" t="n">
        <v>75</v>
      </c>
      <c r="H17" s="12">
        <f>G17*$H$9</f>
        <v/>
      </c>
      <c r="I17" s="12">
        <f>G17*$H$6</f>
        <v/>
      </c>
      <c r="J17" s="12">
        <f>H17-I17</f>
        <v/>
      </c>
      <c r="K17" s="12">
        <f>(H17/1.16)*0.16</f>
        <v/>
      </c>
    </row>
    <row r="18">
      <c r="G18" s="23" t="n">
        <v>100</v>
      </c>
      <c r="H18" s="24">
        <f>G18*$H$9</f>
        <v/>
      </c>
      <c r="I18" s="24">
        <f>G18*$H$6</f>
        <v/>
      </c>
      <c r="J18" s="24">
        <f>H18-I18</f>
        <v/>
      </c>
      <c r="K18" s="24">
        <f>(H18/1.16)*0.16</f>
        <v/>
      </c>
      <c r="L18" s="25">
        <f>J18-K18</f>
        <v/>
      </c>
    </row>
    <row r="19">
      <c r="A19" s="4" t="inlineStr">
        <is>
          <t>Servicios mensual</t>
        </is>
      </c>
      <c r="B19" s="26" t="inlineStr">
        <is>
          <t>Monto mensual</t>
        </is>
      </c>
    </row>
    <row r="20">
      <c r="A20" s="27" t="inlineStr">
        <is>
          <t>luz</t>
        </is>
      </c>
      <c r="B20" s="12" t="n">
        <v>600</v>
      </c>
      <c r="G20" s="13" t="inlineStr">
        <is>
          <t>IVA PAGADO</t>
        </is>
      </c>
      <c r="H20" s="13" t="inlineStr">
        <is>
          <t>IVA COBRADO</t>
        </is>
      </c>
      <c r="I20" s="13" t="inlineStr">
        <is>
          <t>IVA SAT (A pagar)</t>
        </is>
      </c>
    </row>
    <row r="21">
      <c r="A21" s="27" t="inlineStr">
        <is>
          <t>agua</t>
        </is>
      </c>
      <c r="B21" s="12" t="n">
        <v>300</v>
      </c>
      <c r="G21" s="28">
        <f>E11</f>
        <v/>
      </c>
      <c r="H21" s="28">
        <f>K18</f>
        <v/>
      </c>
      <c r="I21" s="29">
        <f>H21-G21</f>
        <v/>
      </c>
    </row>
    <row r="22">
      <c r="A22" s="27" t="inlineStr">
        <is>
          <t>internet</t>
        </is>
      </c>
      <c r="B22" s="12" t="n">
        <v>600</v>
      </c>
    </row>
    <row r="23">
      <c r="A23" s="27" t="inlineStr">
        <is>
          <t>gas (climatización / UPS)</t>
        </is>
      </c>
      <c r="B23" s="12" t="n">
        <v>400</v>
      </c>
    </row>
    <row r="24">
      <c r="A24" s="27" t="inlineStr">
        <is>
          <t>transacciones bancarias y viáticos</t>
        </is>
      </c>
      <c r="B24" s="12" t="n">
        <v>600</v>
      </c>
    </row>
    <row r="25">
      <c r="A25" s="16" t="inlineStr">
        <is>
          <t>Total Servicios</t>
        </is>
      </c>
      <c r="B25" s="19">
        <f>SUM(B20:B24)</f>
        <v/>
      </c>
    </row>
    <row r="27">
      <c r="A27" s="4" t="inlineStr">
        <is>
          <t>Permisos y Registros</t>
        </is>
      </c>
    </row>
    <row r="28">
      <c r="A28" s="27" t="inlineStr">
        <is>
          <t>Salubridad (Aviso Privacidad LGPDPPSO)</t>
        </is>
      </c>
      <c r="B28" s="12" t="n">
        <v>1000</v>
      </c>
    </row>
    <row r="29">
      <c r="A29" s="27" t="inlineStr">
        <is>
          <t>protección civil (INDAUTOR y Convenio CUT)</t>
        </is>
      </c>
      <c r="B29" s="12" t="n">
        <v>833.333333</v>
      </c>
    </row>
    <row r="30">
      <c r="A30" s="16" t="inlineStr">
        <is>
          <t>Total Permisos</t>
        </is>
      </c>
      <c r="B30" s="19">
        <f>SUM(B28:B29)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1"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4" customWidth="1" min="3" max="3"/>
    <col width="14" customWidth="1" min="4" max="4"/>
    <col width="16" customWidth="1" min="5" max="5"/>
    <col width="16" customWidth="1" min="6" max="6"/>
    <col width="18" customWidth="1" min="7" max="7"/>
    <col width="18" customWidth="1" min="8" max="8"/>
    <col width="16" customWidth="1" min="9" max="9"/>
    <col width="18" customWidth="1" min="10" max="10"/>
    <col width="20" customWidth="1" min="11" max="11"/>
  </cols>
  <sheetData>
    <row r="1">
      <c r="A1" s="2" t="inlineStr">
        <is>
          <t>ANÁLISIS DE ECONOMÍAS DE ESCALA Y DETERMINACIÓN DE PRODUCCIÓN MÍNIMA COMPETITIVA</t>
        </is>
      </c>
    </row>
    <row r="2">
      <c r="A2" s="3" t="inlineStr">
        <is>
          <t>Demostración de no linealidad del costo y estimación formal del Punto de Equilibrio (Guía BBVA / Baca Urbina)</t>
        </is>
      </c>
    </row>
    <row r="4">
      <c r="A4" s="30" t="inlineStr">
        <is>
          <t>Costos Fijos Mensuales (CF):</t>
        </is>
      </c>
      <c r="B4" s="31">
        <f> 'Modelo de Costos y Precios'!C17 + 'Modelo de Costos y Precios'!B25 + 'Modelo de Costos y Precios'!B30</f>
        <v/>
      </c>
      <c r="D4" s="32" t="inlineStr">
        <is>
          <t>MODELO DE COSTO MEDIO SEGÚN VOLUMEN (ECONOMÍAS DE ESCALA)</t>
        </is>
      </c>
    </row>
    <row r="5">
      <c r="A5" s="27" t="inlineStr">
        <is>
          <t xml:space="preserve">  • Capital Humano (Dev + Soporte):</t>
        </is>
      </c>
      <c r="B5" s="33">
        <f> 'Modelo de Costos y Precios'!C17</f>
        <v/>
      </c>
      <c r="D5" s="13" t="inlineStr">
        <is>
          <t>Volumen (Q)</t>
        </is>
      </c>
      <c r="E5" s="13" t="inlineStr">
        <is>
          <t>Costos Fijos</t>
        </is>
      </c>
      <c r="F5" s="13" t="inlineStr">
        <is>
          <t>Costos Variables</t>
        </is>
      </c>
      <c r="G5" s="13" t="inlineStr">
        <is>
          <t>Costo Total Real</t>
        </is>
      </c>
      <c r="H5" s="13" t="inlineStr">
        <is>
          <t>Costo Unitario Real</t>
        </is>
      </c>
      <c r="I5" s="13" t="inlineStr">
        <is>
          <t>Precio s/IVA</t>
        </is>
      </c>
      <c r="J5" s="13" t="inlineStr">
        <is>
          <t>Utilidad Operativa</t>
        </is>
      </c>
      <c r="K5" s="13" t="inlineStr">
        <is>
          <t>Condición</t>
        </is>
      </c>
    </row>
    <row r="6">
      <c r="A6" s="27" t="inlineStr">
        <is>
          <t xml:space="preserve">  • Servicios Operativos Mensuales:</t>
        </is>
      </c>
      <c r="B6" s="33">
        <f> 'Modelo de Costos y Precios'!B25</f>
        <v/>
      </c>
      <c r="D6" s="10" t="n">
        <v>1</v>
      </c>
      <c r="E6" s="11">
        <f>$B$4</f>
        <v/>
      </c>
      <c r="F6" s="12">
        <f>D6*$B$8</f>
        <v/>
      </c>
      <c r="G6" s="12">
        <f>E6+F6</f>
        <v/>
      </c>
      <c r="H6" s="12">
        <f>G6/D6</f>
        <v/>
      </c>
      <c r="I6" s="12">
        <f>$B$9</f>
        <v/>
      </c>
      <c r="J6" s="34">
        <f>(I6*D6)-G6</f>
        <v/>
      </c>
      <c r="K6" s="35">
        <f>IF(J6&lt;0, "Déficit / Absorción", IF(D6=35, "Punto Equilibrio", "Rentable (Escala)"))</f>
        <v/>
      </c>
    </row>
    <row r="7">
      <c r="A7" s="27" t="inlineStr">
        <is>
          <t xml:space="preserve">  • Permisos y Trámites Amortizados:</t>
        </is>
      </c>
      <c r="B7" s="33">
        <f> 'Modelo de Costos y Precios'!B30</f>
        <v/>
      </c>
      <c r="D7" s="10" t="n">
        <v>5</v>
      </c>
      <c r="E7" s="11">
        <f>$B$4</f>
        <v/>
      </c>
      <c r="F7" s="12">
        <f>D7*$B$8</f>
        <v/>
      </c>
      <c r="G7" s="12">
        <f>E7+F7</f>
        <v/>
      </c>
      <c r="H7" s="12">
        <f>G7/D7</f>
        <v/>
      </c>
      <c r="I7" s="12">
        <f>$B$9</f>
        <v/>
      </c>
      <c r="J7" s="34">
        <f>(I7*D7)-G7</f>
        <v/>
      </c>
      <c r="K7" s="35">
        <f>IF(J7&lt;0, "Déficit / Absorción", IF(D7=35, "Punto Equilibrio", "Rentable (Escala)"))</f>
        <v/>
      </c>
    </row>
    <row r="8">
      <c r="A8" s="36" t="inlineStr">
        <is>
          <t>Costo Variable Unitario (CVU) sin IVA:</t>
        </is>
      </c>
      <c r="B8" s="33">
        <f> 'Modelo de Costos y Precios'!C11 / 100</f>
        <v/>
      </c>
      <c r="D8" s="10" t="n">
        <v>10</v>
      </c>
      <c r="E8" s="11">
        <f>$B$4</f>
        <v/>
      </c>
      <c r="F8" s="12">
        <f>D8*$B$8</f>
        <v/>
      </c>
      <c r="G8" s="12">
        <f>E8+F8</f>
        <v/>
      </c>
      <c r="H8" s="12">
        <f>G8/D8</f>
        <v/>
      </c>
      <c r="I8" s="12">
        <f>$B$9</f>
        <v/>
      </c>
      <c r="J8" s="34">
        <f>(I8*D8)-G8</f>
        <v/>
      </c>
      <c r="K8" s="35">
        <f>IF(J8&lt;0, "Déficit / Absorción", IF(D8=35, "Punto Equilibrio", "Rentable (Escala)"))</f>
        <v/>
      </c>
    </row>
    <row r="9">
      <c r="A9" s="36" t="inlineStr">
        <is>
          <t>Precio de Venta Unitario (P) sin IVA:</t>
        </is>
      </c>
      <c r="B9" s="33">
        <f> 'Modelo de Costos y Precios'!G9</f>
        <v/>
      </c>
      <c r="D9" s="10" t="n">
        <v>20</v>
      </c>
      <c r="E9" s="11">
        <f>$B$4</f>
        <v/>
      </c>
      <c r="F9" s="12">
        <f>D9*$B$8</f>
        <v/>
      </c>
      <c r="G9" s="12">
        <f>E9+F9</f>
        <v/>
      </c>
      <c r="H9" s="12">
        <f>G9/D9</f>
        <v/>
      </c>
      <c r="I9" s="12">
        <f>$B$9</f>
        <v/>
      </c>
      <c r="J9" s="34">
        <f>(I9*D9)-G9</f>
        <v/>
      </c>
      <c r="K9" s="35">
        <f>IF(J9&lt;0, "Déficit / Absorción", IF(D9=35, "Punto Equilibrio", "Rentable (Escala)"))</f>
        <v/>
      </c>
    </row>
    <row r="10">
      <c r="A10" s="36" t="inlineStr">
        <is>
          <t>Margen de Contribución Unitario (MCU = P - CVU):</t>
        </is>
      </c>
      <c r="B10" s="33">
        <f> B9 - B8</f>
        <v/>
      </c>
      <c r="D10" s="10" t="n">
        <v>30</v>
      </c>
      <c r="E10" s="11">
        <f>$B$4</f>
        <v/>
      </c>
      <c r="F10" s="12">
        <f>D10*$B$8</f>
        <v/>
      </c>
      <c r="G10" s="12">
        <f>E10+F10</f>
        <v/>
      </c>
      <c r="H10" s="12">
        <f>G10/D10</f>
        <v/>
      </c>
      <c r="I10" s="12">
        <f>$B$9</f>
        <v/>
      </c>
      <c r="J10" s="34">
        <f>(I10*D10)-G10</f>
        <v/>
      </c>
      <c r="K10" s="35">
        <f>IF(J10&lt;0, "Déficit / Absorción", IF(D10=35, "Punto Equilibrio", "Rentable (Escala)"))</f>
        <v/>
      </c>
    </row>
    <row r="11">
      <c r="A11" s="36" t="inlineStr">
        <is>
          <t>Razón de Margen de Contribución (MCU / P):</t>
        </is>
      </c>
      <c r="B11" s="37">
        <f> B10 / B9</f>
        <v/>
      </c>
      <c r="D11" s="38" t="n">
        <v>35</v>
      </c>
      <c r="E11" s="39">
        <f>$B$4</f>
        <v/>
      </c>
      <c r="F11" s="40">
        <f>D11*$B$8</f>
        <v/>
      </c>
      <c r="G11" s="40">
        <f>E11+F11</f>
        <v/>
      </c>
      <c r="H11" s="40">
        <f>G11/D11</f>
        <v/>
      </c>
      <c r="I11" s="40">
        <f>$B$9</f>
        <v/>
      </c>
      <c r="J11" s="40">
        <f>(I11*D11)-G11</f>
        <v/>
      </c>
      <c r="K11" s="41">
        <f>IF(J11&lt;0, "Déficit / Absorción", IF(D11=35, "Punto Equilibrio", "Rentable (Escala)"))</f>
        <v/>
      </c>
    </row>
    <row r="12">
      <c r="A12" s="36" t="inlineStr">
        <is>
          <t>PUNTO DE EQUILIBRIO EN UNIDADES (Q_PE = CF / MCU):</t>
        </is>
      </c>
      <c r="B12" s="42">
        <f> B4 / B10</f>
        <v/>
      </c>
      <c r="D12" s="10" t="n">
        <v>50</v>
      </c>
      <c r="E12" s="11">
        <f>$B$4</f>
        <v/>
      </c>
      <c r="F12" s="12">
        <f>D12*$B$8</f>
        <v/>
      </c>
      <c r="G12" s="12">
        <f>E12+F12</f>
        <v/>
      </c>
      <c r="H12" s="12">
        <f>G12/D12</f>
        <v/>
      </c>
      <c r="I12" s="12">
        <f>$B$9</f>
        <v/>
      </c>
      <c r="J12" s="43">
        <f>(I12*D12)-G12</f>
        <v/>
      </c>
      <c r="K12" s="44">
        <f>IF(J12&lt;0, "Déficit / Absorción", IF(D12=35, "Punto Equilibrio", "Rentable (Escala)"))</f>
        <v/>
      </c>
    </row>
    <row r="13">
      <c r="A13" s="36" t="inlineStr">
        <is>
          <t>PUNTO DE EQUILIBRIO EN VENTAS ($):</t>
        </is>
      </c>
      <c r="B13" s="45">
        <f> B12 * B9</f>
        <v/>
      </c>
      <c r="D13" s="10" t="n">
        <v>75</v>
      </c>
      <c r="E13" s="11">
        <f>$B$4</f>
        <v/>
      </c>
      <c r="F13" s="12">
        <f>D13*$B$8</f>
        <v/>
      </c>
      <c r="G13" s="12">
        <f>E13+F13</f>
        <v/>
      </c>
      <c r="H13" s="12">
        <f>G13/D13</f>
        <v/>
      </c>
      <c r="I13" s="12">
        <f>$B$9</f>
        <v/>
      </c>
      <c r="J13" s="43">
        <f>(I13*D13)-G13</f>
        <v/>
      </c>
      <c r="K13" s="44">
        <f>IF(J13&lt;0, "Déficit / Absorción", IF(D13=35, "Punto Equilibrio", "Rentable (Escala)"))</f>
        <v/>
      </c>
    </row>
    <row r="14">
      <c r="D14" s="10" t="n">
        <v>100</v>
      </c>
      <c r="E14" s="11">
        <f>$B$4</f>
        <v/>
      </c>
      <c r="F14" s="12">
        <f>D14*$B$8</f>
        <v/>
      </c>
      <c r="G14" s="12">
        <f>E14+F14</f>
        <v/>
      </c>
      <c r="H14" s="12">
        <f>G14/D14</f>
        <v/>
      </c>
      <c r="I14" s="12">
        <f>$B$9</f>
        <v/>
      </c>
      <c r="J14" s="43">
        <f>(I14*D14)-G14</f>
        <v/>
      </c>
      <c r="K14" s="44">
        <f>IF(J14&lt;0, "Déficit / Absorción", IF(D14=35, "Punto Equilibrio", "Rentable (Escala)"))</f>
        <v/>
      </c>
    </row>
  </sheetData>
  <mergeCells count="1">
    <mergeCell ref="D4:K4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4" customWidth="1" min="3" max="3"/>
    <col width="14" customWidth="1" min="4" max="4"/>
    <col width="18" customWidth="1" min="5" max="5"/>
    <col width="34" customWidth="1" min="6" max="6"/>
    <col width="34" customWidth="1" min="7" max="7"/>
    <col width="34" customWidth="1" min="8" max="8"/>
  </cols>
  <sheetData>
    <row r="1">
      <c r="A1" s="2" t="inlineStr">
        <is>
          <t>EVALUACIÓN MULTICRITERIO Y DIAGRAMA DE PARETO (80/20) DE COSTOS</t>
        </is>
      </c>
    </row>
    <row r="2">
      <c r="A2" s="3" t="inlineStr">
        <is>
          <t>Criterios analizados: Disponibilidad, Criticidad, Relación Volumen-Precio y Costos Derivados</t>
        </is>
      </c>
    </row>
    <row r="4">
      <c r="A4" s="8" t="inlineStr">
        <is>
          <t>Partida de Costo</t>
        </is>
      </c>
      <c r="B4" s="8" t="inlineStr">
        <is>
          <t>Monto Mensual</t>
        </is>
      </c>
      <c r="C4" s="8" t="inlineStr">
        <is>
          <t>% del Total</t>
        </is>
      </c>
      <c r="D4" s="8" t="inlineStr">
        <is>
          <t>% Acumulado</t>
        </is>
      </c>
      <c r="E4" s="8" t="inlineStr">
        <is>
          <t>Clasificación ABC</t>
        </is>
      </c>
      <c r="F4" s="8" t="inlineStr">
        <is>
          <t>Disponibilidad en Mercado</t>
        </is>
      </c>
      <c r="G4" s="8" t="inlineStr">
        <is>
          <t>Criticidad Operativa</t>
        </is>
      </c>
      <c r="H4" s="8" t="inlineStr">
        <is>
          <t>Sensibilidad al Volumen</t>
        </is>
      </c>
    </row>
    <row r="5">
      <c r="A5" s="9" t="inlineStr">
        <is>
          <t>Capital Humano Directo (Dev Full-Stack + Soporte)</t>
        </is>
      </c>
      <c r="B5" s="46">
        <f> 'Modelo de Costos y Precios'!C17</f>
        <v/>
      </c>
      <c r="C5" s="47">
        <f>B5/SUM($B$5:$B$8)</f>
        <v/>
      </c>
      <c r="D5" s="47">
        <f>C5</f>
        <v/>
      </c>
      <c r="E5" s="48" t="inlineStr">
        <is>
          <t>A (Crítico 80%)</t>
        </is>
      </c>
      <c r="F5" s="27" t="inlineStr">
        <is>
          <t>Media (Talento especializado en cloud/Docker)</t>
        </is>
      </c>
      <c r="G5" s="27" t="inlineStr">
        <is>
          <t>Extrema (Desarrollo, seguridad y soporte a planteles)</t>
        </is>
      </c>
      <c r="H5" s="27" t="inlineStr">
        <is>
          <t>Baja (Costo fijo mensual independiente del tráfico)</t>
        </is>
      </c>
    </row>
    <row r="6">
      <c r="A6" s="9" t="inlineStr">
        <is>
          <t>Insumos Cloud / TI (GCP, PostgreSQL, Storage, API)</t>
        </is>
      </c>
      <c r="B6" s="46">
        <f> 'Modelo de Costos y Precios'!D11</f>
        <v/>
      </c>
      <c r="C6" s="47">
        <f>B6/SUM($B$5:$B$8)</f>
        <v/>
      </c>
      <c r="D6" s="47">
        <f>D5+C6</f>
        <v/>
      </c>
      <c r="E6" s="48" t="inlineStr">
        <is>
          <t>A (Crítico 80%)</t>
        </is>
      </c>
      <c r="F6" s="27" t="inlineStr">
        <is>
          <t>Inmediata (SLA 99.9% Google Cloud Platform)</t>
        </is>
      </c>
      <c r="G6" s="27" t="inlineStr">
        <is>
          <t>Extrema (Disponibilidad de plataforma 24/7)</t>
        </is>
      </c>
      <c r="H6" s="27" t="inlineStr">
        <is>
          <t>Alta (Escala linealmente según concurrencia de planteles)</t>
        </is>
      </c>
    </row>
    <row r="7">
      <c r="A7" s="9" t="inlineStr">
        <is>
          <t>Servicios Operativos (Internet, Luz, Traslados)</t>
        </is>
      </c>
      <c r="B7" s="46">
        <f> 'Modelo de Costos y Precios'!B25</f>
        <v/>
      </c>
      <c r="C7" s="47">
        <f>B7/SUM($B$5:$B$8)</f>
        <v/>
      </c>
      <c r="D7" s="47">
        <f>D6+C7</f>
        <v/>
      </c>
      <c r="E7" s="10" t="inlineStr">
        <is>
          <t>B (Moderado)</t>
        </is>
      </c>
      <c r="F7" s="27" t="inlineStr">
        <is>
          <t>Alta (Proveedores de conectividad comercial)</t>
        </is>
      </c>
      <c r="G7" s="27" t="inlineStr">
        <is>
          <t>Media (Soporte administrativo y enlace de respaldo)</t>
        </is>
      </c>
      <c r="H7" s="27" t="inlineStr">
        <is>
          <t>Baja (Costos base de oficina técnica)</t>
        </is>
      </c>
    </row>
    <row r="8">
      <c r="A8" s="9" t="inlineStr">
        <is>
          <t>Cumplimiento Legal (LGPDPPSO / INDAUTOR)</t>
        </is>
      </c>
      <c r="B8" s="46">
        <f> 'Modelo de Costos y Precios'!B30</f>
        <v/>
      </c>
      <c r="C8" s="47">
        <f>B8/SUM($B$5:$B$8)</f>
        <v/>
      </c>
      <c r="D8" s="47">
        <f>D7+C8</f>
        <v/>
      </c>
      <c r="E8" s="10" t="inlineStr">
        <is>
          <t>C (Secundario)</t>
        </is>
      </c>
      <c r="F8" s="27" t="inlineStr">
        <is>
          <t>Alta (Trámite ante ventanillas oficiales del Estado)</t>
        </is>
      </c>
      <c r="G8" s="27" t="inlineStr">
        <is>
          <t>Alta en certeza jurídica, baja en flujo financiero</t>
        </is>
      </c>
      <c r="H8" s="27" t="inlineStr">
        <is>
          <t>Nula (Costo de trámite fijo amortizado)</t>
        </is>
      </c>
    </row>
    <row r="9">
      <c r="A9" s="16" t="inlineStr">
        <is>
          <t>TOTAL COSTO MENSUAL DEL LOTE (100 UNIDADES)</t>
        </is>
      </c>
      <c r="B9" s="49">
        <f>SUM(B5:B8)</f>
        <v/>
      </c>
      <c r="C9" s="50">
        <f>SUM(C5:C8)</f>
        <v/>
      </c>
      <c r="D9" s="16" t="inlineStr">
        <is>
          <t>100.0%</t>
        </is>
      </c>
      <c r="E9" s="17" t="n"/>
      <c r="F9" s="17" t="n"/>
      <c r="G9" s="17" t="n"/>
      <c r="H9" s="17" t="n"/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0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24" customWidth="1" min="2" max="2"/>
    <col width="26" customWidth="1" min="3" max="3"/>
    <col width="32" customWidth="1" min="4" max="4"/>
    <col width="36" customWidth="1" min="5" max="5"/>
  </cols>
  <sheetData>
    <row r="1">
      <c r="A1" s="2" t="inlineStr">
        <is>
          <t>EVALUACIÓN CUANTITATIVA DEL DOLOR OPERATIVO Y BENCHMARKING COMPETITIVO</t>
        </is>
      </c>
    </row>
    <row r="2">
      <c r="A2" s="3" t="inlineStr">
        <is>
          <t>Cuantificación de mermas/horas-hombre vs. ahorro con SIGRE y análisis comparativo de mercado</t>
        </is>
      </c>
    </row>
    <row r="4">
      <c r="A4" s="4" t="inlineStr">
        <is>
          <t>A. CUANTIFICACIÓN ANUAL DEL PROBLEMA (PROCESO MANUAL CON VALES DE PAPEL VS. SIGRE)</t>
        </is>
      </c>
    </row>
    <row r="5">
      <c r="A5" s="8" t="inlineStr">
        <is>
          <t>Parámetro Operativo / Financiero Analizado</t>
        </is>
      </c>
      <c r="B5" s="8" t="inlineStr">
        <is>
          <t>Gestión Manual (Vales de Papel)</t>
        </is>
      </c>
      <c r="C5" s="8" t="inlineStr">
        <is>
          <t>Gestión Digital con SIGRE</t>
        </is>
      </c>
      <c r="D5" s="8" t="inlineStr">
        <is>
          <t>Impacto / Ahorro Generado</t>
        </is>
      </c>
      <c r="E5" s="8" t="inlineStr">
        <is>
          <t>Rango de Certeza / Fuente</t>
        </is>
      </c>
    </row>
    <row r="6">
      <c r="A6" s="9" t="inlineStr">
        <is>
          <t>Transacciones diarias de préstamo promedio (ventanillas de laboratorio)</t>
        </is>
      </c>
      <c r="B6" s="51" t="n">
        <v>300</v>
      </c>
      <c r="C6" s="51" t="n">
        <v>300</v>
      </c>
      <c r="D6" s="10" t="inlineStr">
        <is>
          <t>Mismo volumen atendido</t>
        </is>
      </c>
      <c r="E6" s="9" t="inlineStr">
        <is>
          <t>Muestreo en CUTonalá / CUCEI</t>
        </is>
      </c>
    </row>
    <row r="7">
      <c r="A7" s="9" t="inlineStr">
        <is>
          <t>Días hábiles promedio por ciclo académico anual</t>
        </is>
      </c>
      <c r="B7" s="51" t="n">
        <v>200</v>
      </c>
      <c r="C7" s="51" t="n">
        <v>200</v>
      </c>
      <c r="D7" s="10" t="inlineStr">
        <is>
          <t>Calendario escolar oficial</t>
        </is>
      </c>
      <c r="E7" s="9" t="inlineStr">
        <is>
          <t>Calendario General UdeG</t>
        </is>
      </c>
    </row>
    <row r="8">
      <c r="A8" s="9" t="inlineStr">
        <is>
          <t>Total anual de solicitudes de préstamo tramitadas</t>
        </is>
      </c>
      <c r="B8" s="52">
        <f>B6*B7</f>
        <v/>
      </c>
      <c r="C8" s="52">
        <f>C6*C7</f>
        <v/>
      </c>
      <c r="D8" s="10" t="inlineStr">
        <is>
          <t>60,000 transacciones anuales</t>
        </is>
      </c>
      <c r="E8" s="9" t="inlineStr">
        <is>
          <t>Proyección operacional base</t>
        </is>
      </c>
    </row>
    <row r="9">
      <c r="A9" s="9" t="inlineStr">
        <is>
          <t>Tiempo promedio invertido por transacción de ventanilla (minutos)</t>
        </is>
      </c>
      <c r="B9" s="53" t="n">
        <v>4.5</v>
      </c>
      <c r="C9" s="53" t="n">
        <v>0.45</v>
      </c>
      <c r="D9" s="10" t="inlineStr">
        <is>
          <t>-4.05 min (-90.0% de reducción)</t>
        </is>
      </c>
      <c r="E9" s="9" t="inlineStr">
        <is>
          <t>Cronometraje en almacén</t>
        </is>
      </c>
    </row>
    <row r="10">
      <c r="A10" s="9" t="inlineStr">
        <is>
          <t>Horas-hombre totales consumidas al año en ventanilla</t>
        </is>
      </c>
      <c r="B10" s="52">
        <f>(B8*B9)/60</f>
        <v/>
      </c>
      <c r="C10" s="52">
        <f>(C8*C9)/60</f>
        <v/>
      </c>
      <c r="D10" s="10" t="inlineStr">
        <is>
          <t>4,050 horas-hombre liberadas</t>
        </is>
      </c>
      <c r="E10" s="9" t="inlineStr">
        <is>
          <t>Cálculo derivado</t>
        </is>
      </c>
    </row>
    <row r="11">
      <c r="A11" s="9" t="inlineStr">
        <is>
          <t>Costo laboral promedio por hora (personal operativo/técnico UdeG)</t>
        </is>
      </c>
      <c r="B11" s="46" t="n">
        <v>110</v>
      </c>
      <c r="C11" s="46" t="n">
        <v>110</v>
      </c>
      <c r="D11" s="10" t="inlineStr">
        <is>
          <t>Costo estándar tabular con prestaciones</t>
        </is>
      </c>
      <c r="E11" s="9" t="inlineStr">
        <is>
          <t>Tabulador salarial UdeG 2024</t>
        </is>
      </c>
    </row>
    <row r="12">
      <c r="A12" s="9" t="inlineStr">
        <is>
          <t>Costo anual de nómina absorbido en burocracia de vales</t>
        </is>
      </c>
      <c r="B12" s="46">
        <f>B10*B11</f>
        <v/>
      </c>
      <c r="C12" s="46">
        <f>C10*C11</f>
        <v/>
      </c>
      <c r="D12" s="54" t="inlineStr">
        <is>
          <t>$445,500.00 MXN en tiempo recuperado</t>
        </is>
      </c>
      <c r="E12" s="9" t="inlineStr">
        <is>
          <t>Horas x Costo por hora</t>
        </is>
      </c>
    </row>
    <row r="13">
      <c r="A13" s="9" t="inlineStr">
        <is>
          <t>Mermas y extravíos anuales de instrumental/equipo no devuelto</t>
        </is>
      </c>
      <c r="B13" s="46" t="n">
        <v>240000</v>
      </c>
      <c r="C13" s="46" t="n">
        <v>12000</v>
      </c>
      <c r="D13" s="54" t="inlineStr">
        <is>
          <t>$228,000.00 MXN mitigados (95% control)</t>
        </is>
      </c>
      <c r="E13" s="9" t="inlineStr">
        <is>
          <t>Histórico almacén (5% inventario)</t>
        </is>
      </c>
    </row>
    <row r="14">
      <c r="A14" s="9" t="inlineStr">
        <is>
          <t>Gasto anual en papelería física (vales impresos, carpetas, tóner)</t>
        </is>
      </c>
      <c r="B14" s="46" t="n">
        <v>16500</v>
      </c>
      <c r="C14" s="46" t="n">
        <v>0</v>
      </c>
      <c r="D14" s="54" t="inlineStr">
        <is>
          <t>$16,500.00 MXN ahorro en insumos</t>
        </is>
      </c>
      <c r="E14" s="9" t="inlineStr">
        <is>
          <t>Presupuesto de compras de insumos</t>
        </is>
      </c>
    </row>
    <row r="15">
      <c r="A15" s="55" t="inlineStr">
        <is>
          <t>COSTO TOTAL ANUAL DE INEFICIENCIA Y PÉRDIDA POR PLANTEL</t>
        </is>
      </c>
      <c r="B15" s="56">
        <f>SUM(B12:B14)</f>
        <v/>
      </c>
      <c r="C15" s="57">
        <f>SUM(C12:C14)</f>
        <v/>
      </c>
      <c r="D15" s="58">
        <f>$B$15-$C$15</f>
        <v/>
      </c>
      <c r="E15" s="9" t="inlineStr">
        <is>
          <t>Fuga operativa total anual</t>
        </is>
      </c>
    </row>
    <row r="16">
      <c r="A16" s="9" t="inlineStr">
        <is>
          <t>Costo de Adopción Anual de Licencia SIGRE (1 Almacén Central)</t>
        </is>
      </c>
      <c r="B16" s="46" t="n">
        <v>0</v>
      </c>
      <c r="C16" s="46" t="n">
        <v>28950</v>
      </c>
      <c r="D16" s="54" t="inlineStr">
        <is>
          <t>-$28,950.00 MXN inversión anual</t>
        </is>
      </c>
      <c r="E16" s="9" t="inlineStr">
        <is>
          <t>Tarifa SaaS anual SIGRE</t>
        </is>
      </c>
    </row>
    <row r="17">
      <c r="A17" s="59" t="inlineStr">
        <is>
          <t>BENEFICIO NETO ANUAL GENERADO AL CENTRO UNIVERSITARIO</t>
        </is>
      </c>
      <c r="B17" s="28">
        <f>-B15</f>
        <v/>
      </c>
      <c r="C17" s="60">
        <f>D15-C16</f>
        <v/>
      </c>
      <c r="D17" s="61" t="inlineStr">
        <is>
          <t>$661,050.00 MXN beneficio neto</t>
        </is>
      </c>
      <c r="E17" s="62" t="inlineStr">
        <is>
          <t>ROI Operativo: 2,283% | Payback: 15 días</t>
        </is>
      </c>
    </row>
    <row r="20">
      <c r="A20" s="4" t="inlineStr">
        <is>
          <t>B. ESTUDIO DE MERCADO Y BENCHMARKING COMPETITIVO (SIGRE VS. ALTERNATIVAS)</t>
        </is>
      </c>
    </row>
    <row r="21">
      <c r="A21" s="21" t="inlineStr">
        <is>
          <t>Criterio / Factor Clave</t>
        </is>
      </c>
      <c r="B21" s="21" t="inlineStr">
        <is>
          <t>SIGRE (Propuesta)</t>
        </is>
      </c>
      <c r="C21" s="21" t="inlineStr">
        <is>
          <t>ERP Corporativo (SAP Ariba / Oracle)</t>
        </is>
      </c>
      <c r="D21" s="21" t="inlineStr">
        <is>
          <t>Software Comercial (Odoo / Zoho)</t>
        </is>
      </c>
      <c r="E21" s="21" t="inlineStr">
        <is>
          <t>Gestión Artesanal (Excel / Papel)</t>
        </is>
      </c>
    </row>
    <row r="22">
      <c r="A22" s="55" t="inlineStr">
        <is>
          <t>Costo Anual de Licenciamiento por Dependencia</t>
        </is>
      </c>
      <c r="B22" s="48" t="inlineStr">
        <is>
          <t>$28,950 MXN netos</t>
        </is>
      </c>
      <c r="C22" s="10" t="inlineStr">
        <is>
          <t>$220,000 - $480,000 MXN</t>
        </is>
      </c>
      <c r="D22" s="10" t="inlineStr">
        <is>
          <t>$65,000 - $110,000 MXN</t>
        </is>
      </c>
      <c r="E22" s="10" t="inlineStr">
        <is>
          <t>$0 MXN (Aparente)</t>
        </is>
      </c>
    </row>
    <row r="23">
      <c r="A23" s="55" t="inlineStr">
        <is>
          <t>Costo y Tiempo de Implementación / Setup</t>
        </is>
      </c>
      <c r="B23" s="48" t="inlineStr">
        <is>
          <t>Inmediato (&lt;1 semana, SaaS)</t>
        </is>
      </c>
      <c r="C23" s="10" t="inlineStr">
        <is>
          <t>6 a 12 meses ($350,000+ consultoría)</t>
        </is>
      </c>
      <c r="D23" s="10" t="inlineStr">
        <is>
          <t>2 a 3 meses ($45,000 setup)</t>
        </is>
      </c>
      <c r="E23" s="10" t="inlineStr">
        <is>
          <t>Inmediato (sin gobierno ni soporte)</t>
        </is>
      </c>
    </row>
    <row r="24">
      <c r="A24" s="55" t="inlineStr">
        <is>
          <t>Mecanismo de Contratación Pública en UdeG</t>
        </is>
      </c>
      <c r="B24" s="48" t="inlineStr">
        <is>
          <t>Adjudicación Directa (&lt;$200k Art. 55)</t>
        </is>
      </c>
      <c r="C24" s="10" t="inlineStr">
        <is>
          <t>Licitación Pública Nacional Obligatoria</t>
        </is>
      </c>
      <c r="D24" s="10" t="inlineStr">
        <is>
          <t>Licitación / Invitación Restringida</t>
        </is>
      </c>
      <c r="E24" s="10" t="inlineStr">
        <is>
          <t>No aplica</t>
        </is>
      </c>
    </row>
    <row r="25">
      <c r="A25" s="55" t="inlineStr">
        <is>
          <t>Cumplimiento Normativo LGPDPPSO (Jalisco)</t>
        </is>
      </c>
      <c r="B25" s="48" t="inlineStr">
        <is>
          <t>100% Nativo (Auditoría ITEI / Sujetos Obligados)</t>
        </is>
      </c>
      <c r="C25" s="10" t="inlineStr">
        <is>
          <t>Requiere desarrollos y add-ons costosos</t>
        </is>
      </c>
      <c r="D25" s="10" t="inlineStr">
        <is>
          <t>Parcial (Enfoque comercial privado)</t>
        </is>
      </c>
      <c r="E25" s="10" t="inlineStr">
        <is>
          <t>Nulo (Infracción flagrante por datos expuestos)</t>
        </is>
      </c>
    </row>
    <row r="26">
      <c r="A26" s="55" t="inlineStr">
        <is>
          <t>Algoritmo Predictivo de Scoring de Fiabilidad</t>
        </is>
      </c>
      <c r="B26" s="48" t="inlineStr">
        <is>
          <t>Sí (Calificación dinámica de riesgo del alumno)</t>
        </is>
      </c>
      <c r="C26" s="10" t="inlineStr">
        <is>
          <t>No nativo (Requiere módulo BI a la medida)</t>
        </is>
      </c>
      <c r="D26" s="10" t="inlineStr">
        <is>
          <t>No disponible en versión estándar</t>
        </is>
      </c>
      <c r="E26" s="10" t="inlineStr">
        <is>
          <t>No existe</t>
        </is>
      </c>
    </row>
    <row r="27">
      <c r="A27" s="55" t="inlineStr">
        <is>
          <t>Modo Operativo Offline en Ventanilla (Contingencia)</t>
        </is>
      </c>
      <c r="B27" s="48" t="inlineStr">
        <is>
          <t>Sí (PWA con Service Worker + IndexedDB)</t>
        </is>
      </c>
      <c r="C27" s="10" t="inlineStr">
        <is>
          <t>No (Dependencia estricta de red corporativa)</t>
        </is>
      </c>
      <c r="D27" s="10" t="inlineStr">
        <is>
          <t>Parcial (App móvil no optimizada a ventanilla)</t>
        </is>
      </c>
      <c r="E27" s="10" t="inlineStr">
        <is>
          <t>Papel (Inmune a red, pero sin trazabilidad)</t>
        </is>
      </c>
    </row>
    <row r="28">
      <c r="A28" s="55" t="inlineStr">
        <is>
          <t>Tiempo Promedio de Despacho en Horas Pico</t>
        </is>
      </c>
      <c r="B28" s="48" t="inlineStr">
        <is>
          <t>&lt; 30 segundos (Escaneo QR credencial)</t>
        </is>
      </c>
      <c r="C28" s="10" t="inlineStr">
        <is>
          <t>2 a 3 minutos (Navegación en módulos ERP)</t>
        </is>
      </c>
      <c r="D28" s="10" t="inlineStr">
        <is>
          <t>1 a 2 minutos</t>
        </is>
      </c>
      <c r="E28" s="10" t="inlineStr">
        <is>
          <t>4 a 5 minutos (Llenado y firma de vale)</t>
        </is>
      </c>
    </row>
    <row r="29">
      <c r="A29" s="55" t="inlineStr">
        <is>
          <t>Enfoque y Adaptabilidad al Entorno Universitario</t>
        </is>
      </c>
      <c r="B29" s="48" t="inlineStr">
        <is>
          <t>Específico para almacenes y talleres UdeG</t>
        </is>
      </c>
      <c r="C29" s="10" t="inlineStr">
        <is>
          <t>Cadenas de suministro transnacionales</t>
        </is>
      </c>
      <c r="D29" s="10" t="inlineStr">
        <is>
          <t>PyME comercial y venta al menudeo</t>
        </is>
      </c>
      <c r="E29" s="10" t="inlineStr">
        <is>
          <t>Artesanal e inseguro</t>
        </is>
      </c>
    </row>
    <row r="30">
      <c r="A30" s="55" t="inlineStr">
        <is>
          <t>Propuesta de Valor Única / Barrera de Entrada</t>
        </is>
      </c>
      <c r="B30" s="48" t="inlineStr">
        <is>
          <t>Scoring + LGPDPPSO + Compras Menores UdeG</t>
        </is>
      </c>
      <c r="C30" s="10" t="inlineStr">
        <is>
          <t>Ecosistema corporativo integrado</t>
        </is>
      </c>
      <c r="D30" s="10" t="inlineStr">
        <is>
          <t>Ecosistema modular de bajo costo</t>
        </is>
      </c>
      <c r="E30" s="10" t="inlineStr">
        <is>
          <t>Costo financiero directo cero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38" customWidth="1" min="3" max="3"/>
    <col width="38" customWidth="1" min="4" max="4"/>
    <col width="38" customWidth="1" min="5" max="5"/>
  </cols>
  <sheetData>
    <row r="1">
      <c r="A1" s="2" t="inlineStr">
        <is>
          <t>MATRIZ DE MARCO LÓGICO (MML) DEL PROYECTO SIGRE — METODOLOGÍA CEPAL / ILPES</t>
        </is>
      </c>
    </row>
    <row r="2">
      <c r="A2" s="3" t="inlineStr">
        <is>
          <t>Estructura formal de formulación, objetivos, indicadores verificables y supuestos de sostenibilidad</t>
        </is>
      </c>
    </row>
    <row r="4">
      <c r="A4" s="8" t="inlineStr">
        <is>
          <t>Nivel de Jerarquía de Objetivos</t>
        </is>
      </c>
      <c r="B4" s="8" t="inlineStr">
        <is>
          <t>Resumen Narrativo de Objetivos</t>
        </is>
      </c>
      <c r="C4" s="8" t="inlineStr">
        <is>
          <t>Indicadores Objetivamente Verificables (IOV)</t>
        </is>
      </c>
      <c r="D4" s="8" t="inlineStr">
        <is>
          <t>Medios de Verificación (MoV)</t>
        </is>
      </c>
      <c r="E4" s="8" t="inlineStr">
        <is>
          <t>Supuestos Críticos de Sostenibilidad</t>
        </is>
      </c>
    </row>
    <row r="5" ht="110" customHeight="1">
      <c r="A5" s="23" t="inlineStr">
        <is>
          <t>FIN</t>
        </is>
      </c>
      <c r="B5" s="63" t="inlineStr">
        <is>
          <t>Contribuir a la modernización tecnológica, transparencia en la rendición de cuentas públicas y optimización del gasto operativo en la gestión de materiales, reactivos y equipos en la Red Universitaria de la Universidad de Guadalajara.</t>
        </is>
      </c>
      <c r="C5" s="63" t="inlineStr">
        <is>
          <t>1. Tasa de pérdida o extravío de activos reducida a menos del 0.5% en planteles participantes al término del Año 3.
2. Reducción del 85% en tiempos de espera de alumnos en ventanillas de laboratorios a nivel Red.</t>
        </is>
      </c>
      <c r="D5" s="63" t="inlineStr">
        <is>
          <t>Dictámenes telemétricos y reportes de discrepancia cero generados nativamente por SIGRE; actas de cierre semestral de inventario firmadas por las Coordinaciones de Laboratorio de los campus.</t>
        </is>
      </c>
      <c r="E5" s="63" t="inlineStr">
        <is>
          <t>La política institucional de la Universidad de Guadalajara mantiene su compromiso estratégico con la política de 'Cero Papel' y la digitalización administrativa.</t>
        </is>
      </c>
    </row>
    <row r="6" ht="110" customHeight="1">
      <c r="A6" s="23" t="inlineStr">
        <is>
          <t>PROPÓSITO</t>
        </is>
      </c>
      <c r="B6" s="63" t="inlineStr">
        <is>
          <t>Optimizar los procesos de solicitud, validación de riesgo, despacho y devolución de inventario en almacenes y ventanillas de centros universitarios (Piloto CUTonalá, expansión a CUCEI y red).</t>
        </is>
      </c>
      <c r="C6" s="63" t="inlineStr">
        <is>
          <t>1. Tiempo promedio de despacho por vale menor a 30 segundos en el 98% de transacciones.
2. 100% de los préstamos cuentan con trazabilidad criptográfica y score de riesgo asignado al solicitante al cierre del Año 1.</t>
        </is>
      </c>
      <c r="D6" s="63" t="inlineStr">
        <is>
          <t>Métricas telemétricas de Cloud SQL / BigQuery; reportes mensuales de operación generados automáticamente por SIGRE; bitácoras de auditoría de despacho.</t>
        </is>
      </c>
      <c r="E6" s="63" t="inlineStr">
        <is>
          <t>Coordinadores de carrera, laboratoristas y jefes de almacén aplican de forma obligatoria y estandarizada la plataforma en sustitución del vale en papel.</t>
        </is>
      </c>
    </row>
    <row r="7" ht="110" customHeight="1">
      <c r="A7" s="23" t="inlineStr">
        <is>
          <t>COMPONENTES (PRODUCTOS)</t>
        </is>
      </c>
      <c r="B7" s="63" t="inlineStr">
        <is>
          <t>C1. Plataforma Web SaaS multi-tenant en Google Cloud Platform (Cloud Run + PostgreSQL Cloud SQL + Secret Manager).
C2. Algoritmo predictivo de Scoring de Fiabilidad del Solicitante.
C3. Interfaz de Ventanilla PWA con capacidad de operación en modo offline y sincronización asíncrona.
C4. Programa integral de Capacitación, Gobernanza de Datos (LGPDPPSO) y Manuales de Operación.</t>
        </is>
      </c>
      <c r="C7" s="63" t="inlineStr">
        <is>
          <t>1. Disponibilidad de la plataforma de 99.5% mensual (SLA Cloud Run).
2. Capacidad de operación offline local de hasta 4 horas continuas sin conexión a internet.
3. 100% de encargados de ventanilla y jefes de almacén de centros piloto acreditados en el uso del sistema.</t>
        </is>
      </c>
      <c r="D7" s="63" t="inlineStr">
        <is>
          <t>Dashboard de monitoreo de Google Cloud Monitoring; reportes de pruebas de carga y estrés k6; actas de acreditación de talleres de capacitación y entrega de manuales.</t>
        </is>
      </c>
      <c r="E7" s="63" t="inlineStr">
        <is>
          <t>La infraestructura de Google Cloud Platform mantiene su estándar de estabilidad y el personal operativo muestra adaptabilidad a herramientas digitales.</t>
        </is>
      </c>
    </row>
    <row r="8" ht="110" customHeight="1">
      <c r="A8" s="23" t="inlineStr">
        <is>
          <t>ACTIVIDADES</t>
        </is>
      </c>
      <c r="B8" s="63" t="inlineStr">
        <is>
          <t>A1. Arquitectura de microservicios y despliegue CI/CD en GCP (M1-M2).
A2. Desarrollo del motor de scoring y Progressive Web App con Service Workers (M3-M4).
A3. Pruebas QA, pentesting OWASP y auditoría LGPDPPSO (M5).
A4. Trámite de registro de derechos de autor de software ante INDAUTOR (M6).
A5. Despliegue piloto en almacenes y talleres de CUTonalá (M7).
A6. Capacitación presencial y marcha blanca con supervisión en sitio (M8-M9).
A7. Auditoría técnica, medición de KPIs y release v1.5 para expansión a CUCEI (M10-M12).</t>
        </is>
      </c>
      <c r="C8" s="63" t="inlineStr">
        <is>
          <t>1. Inversión ejecutada conforme al cronograma de $120,000 MXN en Año 1.
2. 100% de los hitos técnicos concluidos en los plazos acordados.
3. Certificado de INDAUTOR obtenido en el Mes 6.</t>
        </is>
      </c>
      <c r="D8" s="63" t="inlineStr">
        <is>
          <t>Repositorio de código GitHub con tags de release firmados; comprobante oficial de registro ante INDAUTOR; listas de asistencia a talleres y actas de inicio de piloto.</t>
        </is>
      </c>
      <c r="E8" s="63" t="inlineStr">
        <is>
          <t>Los recursos de capital semilla se desembolsan oportunamente y los centros universitarios autorizan el acceso físico y operativo a almacenes para la implementación.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3"/>
  <sheetViews>
    <sheetView showGridLines="1" workbookViewId="0">
      <selection activeCell="A1" sqref="A1"/>
    </sheetView>
  </sheetViews>
  <sheetFormatPr baseColWidth="8" defaultRowHeight="15"/>
  <cols>
    <col width="44" customWidth="1" min="1" max="1"/>
    <col width="2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22" customWidth="1" min="15" max="15"/>
  </cols>
  <sheetData>
    <row r="1">
      <c r="A1" s="2" t="inlineStr">
        <is>
          <t>CRONOGRAMA DETALLADO DE EJECUCIÓN (DIAGRAMA DE GANTT) Y ABSORCIÓN DE CAPITAL — AÑO 1</t>
        </is>
      </c>
    </row>
    <row r="2">
      <c r="A2" s="3" t="inlineStr">
        <is>
          <t>Programación mensual de hitos críticos: Desarrollo, QA, Trámite INDAUTOR, Piloto CUTonalá y Capacitación (Meses 1 a 12)</t>
        </is>
      </c>
    </row>
    <row r="4">
      <c r="A4" s="8" t="inlineStr">
        <is>
          <t>Fase / Actividad Crítica</t>
        </is>
      </c>
      <c r="B4" s="8" t="inlineStr">
        <is>
          <t>Responsable Operativo</t>
        </is>
      </c>
      <c r="C4" s="8" t="inlineStr">
        <is>
          <t>M1</t>
        </is>
      </c>
      <c r="D4" s="8" t="inlineStr">
        <is>
          <t>M2</t>
        </is>
      </c>
      <c r="E4" s="8" t="inlineStr">
        <is>
          <t>M3</t>
        </is>
      </c>
      <c r="F4" s="8" t="inlineStr">
        <is>
          <t>M4</t>
        </is>
      </c>
      <c r="G4" s="8" t="inlineStr">
        <is>
          <t>M5</t>
        </is>
      </c>
      <c r="H4" s="8" t="inlineStr">
        <is>
          <t>M6</t>
        </is>
      </c>
      <c r="I4" s="8" t="inlineStr">
        <is>
          <t>M7</t>
        </is>
      </c>
      <c r="J4" s="8" t="inlineStr">
        <is>
          <t>M8</t>
        </is>
      </c>
      <c r="K4" s="8" t="inlineStr">
        <is>
          <t>M9</t>
        </is>
      </c>
      <c r="L4" s="8" t="inlineStr">
        <is>
          <t>M10</t>
        </is>
      </c>
      <c r="M4" s="8" t="inlineStr">
        <is>
          <t>M11</t>
        </is>
      </c>
      <c r="N4" s="8" t="inlineStr">
        <is>
          <t>M12</t>
        </is>
      </c>
      <c r="O4" s="8" t="inlineStr">
        <is>
          <t>Presupuesto Partida</t>
        </is>
      </c>
    </row>
    <row r="5">
      <c r="A5" s="9" t="inlineStr">
        <is>
          <t>1. Arquitectura Cloud GCP y Microservicios Base (Cloud Run, PostgreSQL)</t>
        </is>
      </c>
      <c r="B5" s="10" t="inlineStr">
        <is>
          <t>Lead DevOps</t>
        </is>
      </c>
      <c r="C5" s="64" t="inlineStr">
        <is>
          <t>●</t>
        </is>
      </c>
      <c r="D5" s="64" t="inlineStr">
        <is>
          <t>●</t>
        </is>
      </c>
      <c r="E5" s="65" t="inlineStr"/>
      <c r="F5" s="65" t="inlineStr"/>
      <c r="G5" s="65" t="inlineStr"/>
      <c r="H5" s="65" t="inlineStr"/>
      <c r="I5" s="65" t="inlineStr"/>
      <c r="J5" s="65" t="inlineStr"/>
      <c r="K5" s="65" t="inlineStr"/>
      <c r="L5" s="65" t="inlineStr"/>
      <c r="M5" s="65" t="inlineStr"/>
      <c r="N5" s="65" t="inlineStr"/>
      <c r="O5" s="46" t="n">
        <v>24000</v>
      </c>
    </row>
    <row r="6">
      <c r="A6" s="9" t="inlineStr">
        <is>
          <t>2. Motor Algorítmico de Scoring de Riesgo y PWA Offline con Service Workers</t>
        </is>
      </c>
      <c r="B6" s="10" t="inlineStr">
        <is>
          <t>Dev Full-Stack</t>
        </is>
      </c>
      <c r="C6" s="65" t="inlineStr"/>
      <c r="D6" s="65" t="inlineStr"/>
      <c r="E6" s="64" t="inlineStr">
        <is>
          <t>●</t>
        </is>
      </c>
      <c r="F6" s="64" t="inlineStr">
        <is>
          <t>●</t>
        </is>
      </c>
      <c r="G6" s="65" t="inlineStr"/>
      <c r="H6" s="65" t="inlineStr"/>
      <c r="I6" s="65" t="inlineStr"/>
      <c r="J6" s="65" t="inlineStr"/>
      <c r="K6" s="65" t="inlineStr"/>
      <c r="L6" s="65" t="inlineStr"/>
      <c r="M6" s="65" t="inlineStr"/>
      <c r="N6" s="65" t="inlineStr"/>
      <c r="O6" s="46" t="n">
        <v>25000</v>
      </c>
    </row>
    <row r="7">
      <c r="A7" s="9" t="inlineStr">
        <is>
          <t>3. Pruebas Unitarias, Integración, Estrés de Carga (k6) y Auditoría LGPDPPSO</t>
        </is>
      </c>
      <c r="B7" s="10" t="inlineStr">
        <is>
          <t>QA Engineer</t>
        </is>
      </c>
      <c r="C7" s="65" t="inlineStr"/>
      <c r="D7" s="65" t="inlineStr"/>
      <c r="E7" s="65" t="inlineStr"/>
      <c r="F7" s="65" t="inlineStr"/>
      <c r="G7" s="64" t="inlineStr">
        <is>
          <t>●</t>
        </is>
      </c>
      <c r="H7" s="65" t="inlineStr"/>
      <c r="I7" s="65" t="inlineStr"/>
      <c r="J7" s="65" t="inlineStr"/>
      <c r="K7" s="65" t="inlineStr"/>
      <c r="L7" s="65" t="inlineStr"/>
      <c r="M7" s="65" t="inlineStr"/>
      <c r="N7" s="65" t="inlineStr"/>
      <c r="O7" s="46" t="n">
        <v>12000</v>
      </c>
    </row>
    <row r="8">
      <c r="A8" s="9" t="inlineStr">
        <is>
          <t>4. Hito Legal: Trámite Registro Software INDAUTOR (Buffer 3 sem)</t>
        </is>
      </c>
      <c r="B8" s="10" t="inlineStr">
        <is>
          <t>Asesor Jurídico / PM</t>
        </is>
      </c>
      <c r="C8" s="65" t="inlineStr"/>
      <c r="D8" s="65" t="inlineStr"/>
      <c r="E8" s="65" t="inlineStr"/>
      <c r="F8" s="65" t="inlineStr"/>
      <c r="G8" s="65" t="inlineStr"/>
      <c r="H8" s="64" t="inlineStr">
        <is>
          <t>●</t>
        </is>
      </c>
      <c r="I8" s="65" t="inlineStr"/>
      <c r="J8" s="65" t="inlineStr"/>
      <c r="K8" s="65" t="inlineStr"/>
      <c r="L8" s="65" t="inlineStr"/>
      <c r="M8" s="65" t="inlineStr"/>
      <c r="N8" s="65" t="inlineStr"/>
      <c r="O8" s="46" t="n">
        <v>5500</v>
      </c>
    </row>
    <row r="9">
      <c r="A9" s="9" t="inlineStr">
        <is>
          <t>5. Despliegue Piloto en CUTonalá (Almacén Central y Laboratorios de Cómputo)</t>
        </is>
      </c>
      <c r="B9" s="10" t="inlineStr">
        <is>
          <t>DevOps + Soporte</t>
        </is>
      </c>
      <c r="C9" s="65" t="inlineStr"/>
      <c r="D9" s="65" t="inlineStr"/>
      <c r="E9" s="65" t="inlineStr"/>
      <c r="F9" s="65" t="inlineStr"/>
      <c r="G9" s="65" t="inlineStr"/>
      <c r="H9" s="65" t="inlineStr"/>
      <c r="I9" s="64" t="inlineStr">
        <is>
          <t>●</t>
        </is>
      </c>
      <c r="J9" s="65" t="inlineStr"/>
      <c r="K9" s="65" t="inlineStr"/>
      <c r="L9" s="65" t="inlineStr"/>
      <c r="M9" s="65" t="inlineStr"/>
      <c r="N9" s="65" t="inlineStr"/>
      <c r="O9" s="46" t="n">
        <v>11500</v>
      </c>
    </row>
    <row r="10">
      <c r="A10" s="9" t="inlineStr">
        <is>
          <t>6. Programa de Capacitación Presencial a Almacenistas y Laboratoristas</t>
        </is>
      </c>
      <c r="B10" s="10" t="inlineStr">
        <is>
          <t>Customer Success / Soporte</t>
        </is>
      </c>
      <c r="C10" s="65" t="inlineStr"/>
      <c r="D10" s="65" t="inlineStr"/>
      <c r="E10" s="65" t="inlineStr"/>
      <c r="F10" s="65" t="inlineStr"/>
      <c r="G10" s="65" t="inlineStr"/>
      <c r="H10" s="65" t="inlineStr"/>
      <c r="I10" s="65" t="inlineStr"/>
      <c r="J10" s="64" t="inlineStr">
        <is>
          <t>●</t>
        </is>
      </c>
      <c r="K10" s="64" t="inlineStr">
        <is>
          <t>●</t>
        </is>
      </c>
      <c r="L10" s="65" t="inlineStr"/>
      <c r="M10" s="65" t="inlineStr"/>
      <c r="N10" s="65" t="inlineStr"/>
      <c r="O10" s="46" t="n">
        <v>10000</v>
      </c>
    </row>
    <row r="11">
      <c r="A11" s="9" t="inlineStr">
        <is>
          <t>7. Marcha Blanca y Monitoreo de KPIs Ventanilla (Buffer 2 sem)</t>
        </is>
      </c>
      <c r="B11" s="10" t="inlineStr">
        <is>
          <t>Soporte L2</t>
        </is>
      </c>
      <c r="C11" s="65" t="inlineStr"/>
      <c r="D11" s="65" t="inlineStr"/>
      <c r="E11" s="65" t="inlineStr"/>
      <c r="F11" s="65" t="inlineStr"/>
      <c r="G11" s="65" t="inlineStr"/>
      <c r="H11" s="65" t="inlineStr"/>
      <c r="I11" s="65" t="inlineStr"/>
      <c r="J11" s="65" t="inlineStr"/>
      <c r="K11" s="64" t="inlineStr">
        <is>
          <t>●</t>
        </is>
      </c>
      <c r="L11" s="64" t="inlineStr">
        <is>
          <t>●</t>
        </is>
      </c>
      <c r="M11" s="64" t="inlineStr">
        <is>
          <t>●</t>
        </is>
      </c>
      <c r="N11" s="65" t="inlineStr"/>
      <c r="O11" s="46" t="n">
        <v>16500</v>
      </c>
    </row>
    <row r="12">
      <c r="A12" s="9" t="inlineStr">
        <is>
          <t>8. Evaluación de Impacto, Release v1.5 y Preparación Expansión hacia CUCEI</t>
        </is>
      </c>
      <c r="B12" s="10" t="inlineStr">
        <is>
          <t>Equipo Completo</t>
        </is>
      </c>
      <c r="C12" s="65" t="inlineStr"/>
      <c r="D12" s="65" t="inlineStr"/>
      <c r="E12" s="65" t="inlineStr"/>
      <c r="F12" s="65" t="inlineStr"/>
      <c r="G12" s="65" t="inlineStr"/>
      <c r="H12" s="65" t="inlineStr"/>
      <c r="I12" s="65" t="inlineStr"/>
      <c r="J12" s="65" t="inlineStr"/>
      <c r="K12" s="65" t="inlineStr"/>
      <c r="L12" s="65" t="inlineStr"/>
      <c r="M12" s="65" t="inlineStr"/>
      <c r="N12" s="64" t="inlineStr">
        <is>
          <t>●</t>
        </is>
      </c>
      <c r="O12" s="46" t="n">
        <v>15500</v>
      </c>
    </row>
    <row r="13">
      <c r="A13" s="16" t="inlineStr">
        <is>
          <t>ABSORCIÓN PRESUPUESTAL MENSUAL ESTIMADA (MXN)</t>
        </is>
      </c>
      <c r="B13" s="66" t="inlineStr">
        <is>
          <t>Total por Mes</t>
        </is>
      </c>
      <c r="C13" s="67" t="n">
        <v>12000</v>
      </c>
      <c r="D13" s="67" t="n">
        <v>12000</v>
      </c>
      <c r="E13" s="67" t="n">
        <v>12500</v>
      </c>
      <c r="F13" s="67" t="n">
        <v>12500</v>
      </c>
      <c r="G13" s="67" t="n">
        <v>12000</v>
      </c>
      <c r="H13" s="67" t="n">
        <v>5500</v>
      </c>
      <c r="I13" s="67" t="n">
        <v>11500</v>
      </c>
      <c r="J13" s="67" t="n">
        <v>5000</v>
      </c>
      <c r="K13" s="67" t="n">
        <v>10500</v>
      </c>
      <c r="L13" s="67" t="n">
        <v>5500</v>
      </c>
      <c r="M13" s="67" t="n">
        <v>5500</v>
      </c>
      <c r="N13" s="67" t="n">
        <v>15500</v>
      </c>
      <c r="O13" s="49">
        <f>SUM(O5:O12)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24" customWidth="1" min="2" max="2"/>
    <col width="24" customWidth="1" min="3" max="3"/>
    <col width="26" customWidth="1" min="4" max="4"/>
    <col width="44" customWidth="1" min="5" max="5"/>
  </cols>
  <sheetData>
    <row r="1">
      <c r="A1" s="2" t="inlineStr">
        <is>
          <t>ESTADO DE RESULTADOS PROYECTADO PRO FORMA — HORIZONTE A 3 AÑOS (MXN)</t>
        </is>
      </c>
    </row>
    <row r="2">
      <c r="A2" s="3" t="inlineStr">
        <is>
          <t>Proyección contable bajo supuestos de adopción escalonada: Piloto CUTonalá (Año 1), Expansión CUCEI (Año 2) y Consolidación Red (Año 3)</t>
        </is>
      </c>
    </row>
    <row r="4">
      <c r="A4" s="8" t="inlineStr">
        <is>
          <t>Concepto Contable / Financiero</t>
        </is>
      </c>
      <c r="B4" s="8" t="inlineStr">
        <is>
          <t>Año 1 (Piloto CUTonalá - 5 deps)</t>
        </is>
      </c>
      <c r="C4" s="8" t="inlineStr">
        <is>
          <t>Año 2 (Expansión CUCEI - 25 deps)</t>
        </is>
      </c>
      <c r="D4" s="8" t="inlineStr">
        <is>
          <t>Año 3 (Consolidación Red - 100 deps)</t>
        </is>
      </c>
      <c r="E4" s="8" t="inlineStr">
        <is>
          <t>Notas Técnicas y Criterios Contables</t>
        </is>
      </c>
    </row>
    <row r="5">
      <c r="A5" s="9" t="inlineStr">
        <is>
          <t>Dependencias Universitarias Contratadas</t>
        </is>
      </c>
      <c r="B5" s="52" t="n">
        <v>5</v>
      </c>
      <c r="C5" s="52" t="n">
        <v>25</v>
      </c>
      <c r="D5" s="52" t="n">
        <v>100</v>
      </c>
      <c r="E5" s="9" t="inlineStr">
        <is>
          <t>Almacenes y laboratorios de centros universitarios</t>
        </is>
      </c>
    </row>
    <row r="6">
      <c r="A6" s="9" t="inlineStr">
        <is>
          <t>Precio de Venta Anual por Dependencia (sin IVA)</t>
        </is>
      </c>
      <c r="B6" s="46" t="n">
        <v>28950</v>
      </c>
      <c r="C6" s="46" t="n">
        <v>28950</v>
      </c>
      <c r="D6" s="46" t="n">
        <v>28950</v>
      </c>
      <c r="E6" s="9" t="inlineStr">
        <is>
          <t>Tarifa fija anualizada ($2,412.50 MXN / mes neto)</t>
        </is>
      </c>
    </row>
    <row r="7">
      <c r="A7" s="55" t="inlineStr">
        <is>
          <t>INGRESOS BRUTOS OPERACIONALES</t>
        </is>
      </c>
      <c r="B7" s="57">
        <f>B5*B6</f>
        <v/>
      </c>
      <c r="C7" s="57">
        <f>C5*C6</f>
        <v/>
      </c>
      <c r="D7" s="57">
        <f>D5*D6</f>
        <v/>
      </c>
      <c r="E7" s="9" t="inlineStr">
        <is>
          <t>Facturación por servicios SaaS institucional</t>
        </is>
      </c>
    </row>
    <row r="8">
      <c r="A8" s="9" t="inlineStr">
        <is>
          <t>Descuentos y Devoluciones Comerciales (0%)</t>
        </is>
      </c>
      <c r="B8" s="46" t="n">
        <v>0</v>
      </c>
      <c r="C8" s="46" t="n">
        <v>0</v>
      </c>
      <c r="D8" s="46" t="n">
        <v>0</v>
      </c>
      <c r="E8" s="9" t="inlineStr">
        <is>
          <t>Contratación directa anual fija</t>
        </is>
      </c>
    </row>
    <row r="9">
      <c r="A9" s="55" t="inlineStr">
        <is>
          <t>INGRESOS NETOS OPERACIONALES</t>
        </is>
      </c>
      <c r="B9" s="57">
        <f>B7-B8</f>
        <v/>
      </c>
      <c r="C9" s="57">
        <f>C7-C8</f>
        <v/>
      </c>
      <c r="D9" s="57">
        <f>D7-D8</f>
        <v/>
      </c>
      <c r="E9" s="9" t="inlineStr">
        <is>
          <t>Base gravable neta operacional</t>
        </is>
      </c>
    </row>
    <row r="10">
      <c r="A10" s="9" t="inlineStr">
        <is>
          <t>Costo del Servicio / Servidores Cloud GCP (Costo Variable)</t>
        </is>
      </c>
      <c r="B10" s="46" t="n">
        <v>6120</v>
      </c>
      <c r="C10" s="46" t="n">
        <v>30600</v>
      </c>
      <c r="D10" s="46" t="n">
        <v>122400</v>
      </c>
      <c r="E10" s="9" t="inlineStr">
        <is>
          <t>Consumo de Cloud Run, Cloud SQL, Storage ($102 MXN/dep/mes x12)</t>
        </is>
      </c>
    </row>
    <row r="11">
      <c r="A11" s="55" t="inlineStr">
        <is>
          <t>UTILIDAD BRUTA</t>
        </is>
      </c>
      <c r="B11" s="31">
        <f>B9-B10</f>
        <v/>
      </c>
      <c r="C11" s="31">
        <f>C9-C10</f>
        <v/>
      </c>
      <c r="D11" s="31">
        <f>D9-D10</f>
        <v/>
      </c>
      <c r="E11" s="9" t="inlineStr">
        <is>
          <t>Margen de contribución total</t>
        </is>
      </c>
    </row>
    <row r="12">
      <c r="A12" s="9" t="inlineStr">
        <is>
          <t>Margen Bruto (%)</t>
        </is>
      </c>
      <c r="B12" s="47">
        <f>B11/B9</f>
        <v/>
      </c>
      <c r="C12" s="47">
        <f>C11/C9</f>
        <v/>
      </c>
      <c r="D12" s="47">
        <f>D11/D9</f>
        <v/>
      </c>
      <c r="E12" s="9" t="inlineStr">
        <is>
          <t>Margen bruto SaaS típicamente &gt;90%</t>
        </is>
      </c>
    </row>
    <row r="13">
      <c r="A13" s="9" t="inlineStr">
        <is>
          <t>GASTOS DE OPERACIÓN Y ADMINISTRACIÓN:</t>
        </is>
      </c>
      <c r="B13" s="27" t="inlineStr"/>
      <c r="C13" s="27" t="inlineStr"/>
      <c r="D13" s="27" t="inlineStr"/>
      <c r="E13" s="9" t="inlineStr">
        <is>
          <t>Costos fijos operacionales y talento humano</t>
        </is>
      </c>
    </row>
    <row r="14">
      <c r="A14" s="9" t="inlineStr">
        <is>
          <t xml:space="preserve">  • Nómina y Honorarios Técnicos (DevOps, QA, Soporte N1/N2)</t>
        </is>
      </c>
      <c r="B14" s="46" t="n">
        <v>126000</v>
      </c>
      <c r="C14" s="46" t="n">
        <v>252000</v>
      </c>
      <c r="D14" s="46" t="n">
        <v>540000</v>
      </c>
      <c r="E14" s="9" t="inlineStr">
        <is>
          <t>Evolución de organigrama: 2 perfiles A1 -&gt; 3 A2 -&gt; 5 A3</t>
        </is>
      </c>
    </row>
    <row r="15">
      <c r="A15" s="9" t="inlineStr">
        <is>
          <t xml:space="preserve">  • Conectividad, Licencias de Desarrollo y Oficina Técnica</t>
        </is>
      </c>
      <c r="B15" s="46" t="n">
        <v>18000</v>
      </c>
      <c r="C15" s="46" t="n">
        <v>36000</v>
      </c>
      <c r="D15" s="46" t="n">
        <v>72000</v>
      </c>
      <c r="E15" s="9" t="inlineStr">
        <is>
          <t>Herramientas de monitoreo, repositorios y oficina</t>
        </is>
      </c>
    </row>
    <row r="16">
      <c r="A16" s="9" t="inlineStr">
        <is>
          <t xml:space="preserve">  • Viáticos, Talleres y Capacitación Presencial en Campus</t>
        </is>
      </c>
      <c r="B16" s="46" t="n">
        <v>8500</v>
      </c>
      <c r="C16" s="46" t="n">
        <v>22000</v>
      </c>
      <c r="D16" s="46" t="n">
        <v>45000</v>
      </c>
      <c r="E16" s="9" t="inlineStr">
        <is>
          <t>Onboarding y sesiones prácticas en almacenes</t>
        </is>
      </c>
    </row>
    <row r="17">
      <c r="A17" s="9" t="inlineStr">
        <is>
          <t xml:space="preserve">  • Trámites Legales, Contabilidad y Registro INDAUTOR</t>
        </is>
      </c>
      <c r="B17" s="46" t="n">
        <v>5500</v>
      </c>
      <c r="C17" s="46" t="n">
        <v>12000</v>
      </c>
      <c r="D17" s="46" t="n">
        <v>25000</v>
      </c>
      <c r="E17" s="9" t="inlineStr">
        <is>
          <t>Registro de software en A1, compliance legal continuo</t>
        </is>
      </c>
    </row>
    <row r="18">
      <c r="A18" s="55" t="inlineStr">
        <is>
          <t>TOTAL GASTOS DE OPERACIÓN</t>
        </is>
      </c>
      <c r="B18" s="57">
        <f>SUM(B14:B17)</f>
        <v/>
      </c>
      <c r="C18" s="57">
        <f>SUM(C14:C17)</f>
        <v/>
      </c>
      <c r="D18" s="57">
        <f>SUM(D14:D17)</f>
        <v/>
      </c>
      <c r="E18" s="9" t="inlineStr">
        <is>
          <t>Total OPEX anual</t>
        </is>
      </c>
    </row>
    <row r="19">
      <c r="A19" s="55" t="inlineStr">
        <is>
          <t>UTILIDAD DE OPERACIÓN / EBITDA</t>
        </is>
      </c>
      <c r="B19" s="56">
        <f>B11-B18</f>
        <v/>
      </c>
      <c r="C19" s="68">
        <f>C11-C18</f>
        <v/>
      </c>
      <c r="D19" s="69">
        <f>D11-D18</f>
        <v/>
      </c>
      <c r="E19" s="9" t="inlineStr">
        <is>
          <t>Flujo operacional antes de impuestos</t>
        </is>
      </c>
    </row>
    <row r="20">
      <c r="A20" s="9" t="inlineStr">
        <is>
          <t>Margen Operativo (%)</t>
        </is>
      </c>
      <c r="B20" s="47">
        <f>B19/B9</f>
        <v/>
      </c>
      <c r="C20" s="47">
        <f>C19/C9</f>
        <v/>
      </c>
      <c r="D20" s="47">
        <f>D19/D9</f>
        <v/>
      </c>
      <c r="E20" s="9" t="inlineStr">
        <is>
          <t>Rentabilidad sobre ventas brutas</t>
        </is>
      </c>
    </row>
    <row r="21">
      <c r="A21" s="9" t="inlineStr">
        <is>
          <t>Impuesto Sobre la Renta (ISR Estimado 30%)</t>
        </is>
      </c>
      <c r="B21" s="46">
        <f>IF(B19&gt;0, B19*0.30, 0)</f>
        <v/>
      </c>
      <c r="C21" s="46">
        <f>IF(C19&gt;0, C19*0.30, 0)</f>
        <v/>
      </c>
      <c r="D21" s="46">
        <f>IF(D19&gt;0, D19*0.30, 0)</f>
        <v/>
      </c>
      <c r="E21" s="9" t="inlineStr">
        <is>
          <t>Tasa corporativa estándar (sin base gravable en déficit)</t>
        </is>
      </c>
    </row>
    <row r="22">
      <c r="A22" s="59" t="inlineStr">
        <is>
          <t>UTILIDAD (PÉRDIDA) NETA PROYECTADA</t>
        </is>
      </c>
      <c r="B22" s="70">
        <f>B19-B21</f>
        <v/>
      </c>
      <c r="C22" s="29">
        <f>C19-C21</f>
        <v/>
      </c>
      <c r="D22" s="60">
        <f>D19-D21</f>
        <v/>
      </c>
      <c r="E22" s="62" t="inlineStr">
        <is>
          <t>Resultado neto final del ejercicio</t>
        </is>
      </c>
    </row>
    <row r="23">
      <c r="A23" s="9" t="inlineStr">
        <is>
          <t>Margen Neto (%)</t>
        </is>
      </c>
      <c r="B23" s="47">
        <f>B22/B9</f>
        <v/>
      </c>
      <c r="C23" s="47">
        <f>C22/C9</f>
        <v/>
      </c>
      <c r="D23" s="47">
        <f>D22/D9</f>
        <v/>
      </c>
      <c r="E23" s="9" t="inlineStr">
        <is>
          <t>Rentabilidad neta final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6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5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6" customWidth="1" min="14" max="14"/>
  </cols>
  <sheetData>
    <row r="1">
      <c r="A1" s="2" t="inlineStr">
        <is>
          <t>FLUJO DE EFECTIVO MENSUAL PRO FORMA (CASH FLOW) — AÑO 1 PILOTO (MXN)</t>
        </is>
      </c>
    </row>
    <row r="2">
      <c r="A2" s="3" t="inlineStr">
        <is>
          <t>Análisis de liquidez mensual, absorción de capital semilla de $120,000 MXN y tasa de quema de efectivo (burn rate)</t>
        </is>
      </c>
    </row>
    <row r="4">
      <c r="A4" s="8" t="inlineStr">
        <is>
          <t>Concepto de Flujo de Efectivo</t>
        </is>
      </c>
      <c r="B4" s="8" t="inlineStr">
        <is>
          <t>M1</t>
        </is>
      </c>
      <c r="C4" s="8" t="inlineStr">
        <is>
          <t>M2</t>
        </is>
      </c>
      <c r="D4" s="8" t="inlineStr">
        <is>
          <t>M3</t>
        </is>
      </c>
      <c r="E4" s="8" t="inlineStr">
        <is>
          <t>M4</t>
        </is>
      </c>
      <c r="F4" s="8" t="inlineStr">
        <is>
          <t>M5</t>
        </is>
      </c>
      <c r="G4" s="8" t="inlineStr">
        <is>
          <t>M6</t>
        </is>
      </c>
      <c r="H4" s="8" t="inlineStr">
        <is>
          <t>M7</t>
        </is>
      </c>
      <c r="I4" s="8" t="inlineStr">
        <is>
          <t>M8</t>
        </is>
      </c>
      <c r="J4" s="8" t="inlineStr">
        <is>
          <t>M9</t>
        </is>
      </c>
      <c r="K4" s="8" t="inlineStr">
        <is>
          <t>M10</t>
        </is>
      </c>
      <c r="L4" s="8" t="inlineStr">
        <is>
          <t>M11</t>
        </is>
      </c>
      <c r="M4" s="8" t="inlineStr">
        <is>
          <t>M12</t>
        </is>
      </c>
      <c r="N4" s="8" t="inlineStr">
        <is>
          <t>Total Año 1</t>
        </is>
      </c>
    </row>
    <row r="5">
      <c r="A5" s="55" t="inlineStr">
        <is>
          <t>SALDO INICIAL DE EFECTIVO EN CAJA</t>
        </is>
      </c>
      <c r="B5" s="71" t="n">
        <v>0</v>
      </c>
      <c r="C5" s="71">
        <f>B18</f>
        <v/>
      </c>
      <c r="D5" s="71">
        <f>C18</f>
        <v/>
      </c>
      <c r="E5" s="71">
        <f>D18</f>
        <v/>
      </c>
      <c r="F5" s="71">
        <f>E18</f>
        <v/>
      </c>
      <c r="G5" s="71">
        <f>F18</f>
        <v/>
      </c>
      <c r="H5" s="71">
        <f>G18</f>
        <v/>
      </c>
      <c r="I5" s="71">
        <f>H18</f>
        <v/>
      </c>
      <c r="J5" s="71">
        <f>I18</f>
        <v/>
      </c>
      <c r="K5" s="71">
        <f>J18</f>
        <v/>
      </c>
      <c r="L5" s="71">
        <f>K18</f>
        <v/>
      </c>
      <c r="M5" s="71">
        <f>L18</f>
        <v/>
      </c>
      <c r="N5" s="71">
        <f>B5</f>
        <v/>
      </c>
    </row>
    <row r="6">
      <c r="A6" s="9" t="inlineStr">
        <is>
          <t>ENTRADAS DE EFECTIVO OPERATIVAS Y FINANCIAMIENTO:</t>
        </is>
      </c>
      <c r="B6" s="27" t="inlineStr"/>
      <c r="C6" s="27" t="inlineStr"/>
      <c r="D6" s="27" t="inlineStr"/>
      <c r="E6" s="27" t="inlineStr"/>
      <c r="F6" s="27" t="inlineStr"/>
      <c r="G6" s="27" t="inlineStr"/>
      <c r="H6" s="27" t="inlineStr"/>
      <c r="I6" s="27" t="inlineStr"/>
      <c r="J6" s="27" t="inlineStr"/>
      <c r="K6" s="27" t="inlineStr"/>
      <c r="L6" s="27" t="inlineStr"/>
      <c r="M6" s="27" t="inlineStr"/>
      <c r="N6" s="27" t="inlineStr"/>
    </row>
    <row r="7">
      <c r="A7" s="9" t="inlineStr">
        <is>
          <t xml:space="preserve">  • Aportación de Capital Semilla Inicial</t>
        </is>
      </c>
      <c r="B7" s="72" t="n">
        <v>120000</v>
      </c>
      <c r="C7" s="72" t="n">
        <v>0</v>
      </c>
      <c r="D7" s="72" t="n">
        <v>0</v>
      </c>
      <c r="E7" s="72" t="n">
        <v>0</v>
      </c>
      <c r="F7" s="72" t="n">
        <v>0</v>
      </c>
      <c r="G7" s="72" t="n">
        <v>0</v>
      </c>
      <c r="H7" s="72" t="n">
        <v>0</v>
      </c>
      <c r="I7" s="72" t="n">
        <v>0</v>
      </c>
      <c r="J7" s="72" t="n">
        <v>0</v>
      </c>
      <c r="K7" s="72" t="n">
        <v>0</v>
      </c>
      <c r="L7" s="72" t="n">
        <v>0</v>
      </c>
      <c r="M7" s="72" t="n">
        <v>0</v>
      </c>
      <c r="N7" s="72">
        <f>SUM(B7:M7)</f>
        <v/>
      </c>
    </row>
    <row r="8">
      <c r="A8" s="9" t="inlineStr">
        <is>
          <t xml:space="preserve">  • Cobranza de Licencias Piloto CUTonalá (5 deps + IVA)</t>
        </is>
      </c>
      <c r="B8" s="72" t="n">
        <v>0</v>
      </c>
      <c r="C8" s="72" t="n">
        <v>0</v>
      </c>
      <c r="D8" s="72" t="n">
        <v>0</v>
      </c>
      <c r="E8" s="72" t="n">
        <v>0</v>
      </c>
      <c r="F8" s="72" t="n">
        <v>0</v>
      </c>
      <c r="G8" s="72" t="n">
        <v>0</v>
      </c>
      <c r="H8" s="72" t="n">
        <v>167910</v>
      </c>
      <c r="I8" s="72" t="n">
        <v>0</v>
      </c>
      <c r="J8" s="72" t="n">
        <v>0</v>
      </c>
      <c r="K8" s="72" t="n">
        <v>0</v>
      </c>
      <c r="L8" s="72" t="n">
        <v>0</v>
      </c>
      <c r="M8" s="72" t="n">
        <v>0</v>
      </c>
      <c r="N8" s="72">
        <f>SUM(B8:M8)</f>
        <v/>
      </c>
    </row>
    <row r="9">
      <c r="A9" s="55" t="inlineStr">
        <is>
          <t>TOTAL ENTRADAS DE EFECTIVO</t>
        </is>
      </c>
      <c r="B9" s="73">
        <f>SUM(B7:B8)</f>
        <v/>
      </c>
      <c r="C9" s="73">
        <f>SUM(C7:C8)</f>
        <v/>
      </c>
      <c r="D9" s="73">
        <f>SUM(D7:D8)</f>
        <v/>
      </c>
      <c r="E9" s="73">
        <f>SUM(E7:E8)</f>
        <v/>
      </c>
      <c r="F9" s="73">
        <f>SUM(F7:F8)</f>
        <v/>
      </c>
      <c r="G9" s="73">
        <f>SUM(G7:G8)</f>
        <v/>
      </c>
      <c r="H9" s="73">
        <f>SUM(H7:H8)</f>
        <v/>
      </c>
      <c r="I9" s="73">
        <f>SUM(I7:I8)</f>
        <v/>
      </c>
      <c r="J9" s="73">
        <f>SUM(J7:J8)</f>
        <v/>
      </c>
      <c r="K9" s="73">
        <f>SUM(K7:K8)</f>
        <v/>
      </c>
      <c r="L9" s="73">
        <f>SUM(L7:L8)</f>
        <v/>
      </c>
      <c r="M9" s="73">
        <f>SUM(M7:M8)</f>
        <v/>
      </c>
      <c r="N9" s="73">
        <f>SUM(N7:N8)</f>
        <v/>
      </c>
    </row>
    <row r="10">
      <c r="A10" s="9" t="inlineStr">
        <is>
          <t>SALIDAS DE EFECTIVO OPERATIVAS (EGRESOS):</t>
        </is>
      </c>
      <c r="B10" s="27" t="inlineStr"/>
      <c r="C10" s="27" t="inlineStr"/>
      <c r="D10" s="27" t="inlineStr"/>
      <c r="E10" s="27" t="inlineStr"/>
      <c r="F10" s="27" t="inlineStr"/>
      <c r="G10" s="27" t="inlineStr"/>
      <c r="H10" s="27" t="inlineStr"/>
      <c r="I10" s="27" t="inlineStr"/>
      <c r="J10" s="27" t="inlineStr"/>
      <c r="K10" s="27" t="inlineStr"/>
      <c r="L10" s="27" t="inlineStr"/>
      <c r="M10" s="27" t="inlineStr"/>
      <c r="N10" s="27" t="inlineStr"/>
    </row>
    <row r="11">
      <c r="A11" s="9" t="inlineStr">
        <is>
          <t xml:space="preserve">  • Nómina y Honorarios Técnicos (DevOps + QA)</t>
        </is>
      </c>
      <c r="B11" s="72" t="n">
        <v>10500</v>
      </c>
      <c r="C11" s="72" t="n">
        <v>10500</v>
      </c>
      <c r="D11" s="72" t="n">
        <v>10500</v>
      </c>
      <c r="E11" s="72" t="n">
        <v>10500</v>
      </c>
      <c r="F11" s="72" t="n">
        <v>10500</v>
      </c>
      <c r="G11" s="72" t="n">
        <v>10500</v>
      </c>
      <c r="H11" s="72" t="n">
        <v>10500</v>
      </c>
      <c r="I11" s="72" t="n">
        <v>10500</v>
      </c>
      <c r="J11" s="72" t="n">
        <v>10500</v>
      </c>
      <c r="K11" s="72" t="n">
        <v>10500</v>
      </c>
      <c r="L11" s="72" t="n">
        <v>10500</v>
      </c>
      <c r="M11" s="72" t="n">
        <v>10500</v>
      </c>
      <c r="N11" s="72">
        <f>SUM(B11:M11)</f>
        <v/>
      </c>
    </row>
    <row r="12">
      <c r="A12" s="9" t="inlineStr">
        <is>
          <t xml:space="preserve">  • Servicios Cloud GCP (Compute, SQL, Storage)</t>
        </is>
      </c>
      <c r="B12" s="72" t="n">
        <v>510</v>
      </c>
      <c r="C12" s="72" t="n">
        <v>510</v>
      </c>
      <c r="D12" s="72" t="n">
        <v>510</v>
      </c>
      <c r="E12" s="72" t="n">
        <v>510</v>
      </c>
      <c r="F12" s="72" t="n">
        <v>510</v>
      </c>
      <c r="G12" s="72" t="n">
        <v>510</v>
      </c>
      <c r="H12" s="72" t="n">
        <v>510</v>
      </c>
      <c r="I12" s="72" t="n">
        <v>510</v>
      </c>
      <c r="J12" s="72" t="n">
        <v>510</v>
      </c>
      <c r="K12" s="72" t="n">
        <v>510</v>
      </c>
      <c r="L12" s="72" t="n">
        <v>510</v>
      </c>
      <c r="M12" s="72" t="n">
        <v>510</v>
      </c>
      <c r="N12" s="72">
        <f>SUM(B12:M12)</f>
        <v/>
      </c>
    </row>
    <row r="13">
      <c r="A13" s="9" t="inlineStr">
        <is>
          <t xml:space="preserve">  • Conectividad, Licencias Dev y Soporte Base</t>
        </is>
      </c>
      <c r="B13" s="72" t="n">
        <v>990</v>
      </c>
      <c r="C13" s="72" t="n">
        <v>990</v>
      </c>
      <c r="D13" s="72" t="n">
        <v>1490</v>
      </c>
      <c r="E13" s="72" t="n">
        <v>1490</v>
      </c>
      <c r="F13" s="72" t="n">
        <v>990</v>
      </c>
      <c r="G13" s="72" t="n">
        <v>0</v>
      </c>
      <c r="H13" s="72" t="n">
        <v>400</v>
      </c>
      <c r="I13" s="72" t="n">
        <v>0</v>
      </c>
      <c r="J13" s="72" t="n">
        <v>0</v>
      </c>
      <c r="K13" s="72" t="n">
        <v>0</v>
      </c>
      <c r="L13" s="72" t="n">
        <v>0</v>
      </c>
      <c r="M13" s="72" t="n">
        <v>0</v>
      </c>
      <c r="N13" s="72">
        <f>SUM(B13:M13)</f>
        <v/>
      </c>
    </row>
    <row r="14">
      <c r="A14" s="9" t="inlineStr">
        <is>
          <t xml:space="preserve">  • Registro de Obra Software ante INDAUTOR (Hito M6)</t>
        </is>
      </c>
      <c r="B14" s="72" t="n">
        <v>0</v>
      </c>
      <c r="C14" s="72" t="n">
        <v>0</v>
      </c>
      <c r="D14" s="72" t="n">
        <v>0</v>
      </c>
      <c r="E14" s="72" t="n">
        <v>0</v>
      </c>
      <c r="F14" s="72" t="n">
        <v>0</v>
      </c>
      <c r="G14" s="72" t="n">
        <v>3500</v>
      </c>
      <c r="H14" s="72" t="n">
        <v>0</v>
      </c>
      <c r="I14" s="72" t="n">
        <v>0</v>
      </c>
      <c r="J14" s="72" t="n">
        <v>0</v>
      </c>
      <c r="K14" s="72" t="n">
        <v>0</v>
      </c>
      <c r="L14" s="72" t="n">
        <v>0</v>
      </c>
      <c r="M14" s="72" t="n">
        <v>0</v>
      </c>
      <c r="N14" s="72">
        <f>SUM(B14:M14)</f>
        <v/>
      </c>
    </row>
    <row r="15">
      <c r="A15" s="9" t="inlineStr">
        <is>
          <t xml:space="preserve">  • Viáticos y Talleres de Capacitación en Almacenes</t>
        </is>
      </c>
      <c r="B15" s="72" t="n">
        <v>0</v>
      </c>
      <c r="C15" s="72" t="n">
        <v>0</v>
      </c>
      <c r="D15" s="72" t="n">
        <v>0</v>
      </c>
      <c r="E15" s="72" t="n">
        <v>0</v>
      </c>
      <c r="F15" s="72" t="n">
        <v>0</v>
      </c>
      <c r="G15" s="72" t="n">
        <v>0</v>
      </c>
      <c r="H15" s="72" t="n">
        <v>2590</v>
      </c>
      <c r="I15" s="72" t="n">
        <v>2500</v>
      </c>
      <c r="J15" s="72" t="n">
        <v>0</v>
      </c>
      <c r="K15" s="72" t="n">
        <v>0</v>
      </c>
      <c r="L15" s="72" t="n">
        <v>0</v>
      </c>
      <c r="M15" s="72" t="n">
        <v>0</v>
      </c>
      <c r="N15" s="72">
        <f>SUM(B15:M15)</f>
        <v/>
      </c>
    </row>
    <row r="16">
      <c r="A16" s="9" t="inlineStr">
        <is>
          <t xml:space="preserve">  • Auditoría Técnica, Evaluación Piloto y Cierre v1.5</t>
        </is>
      </c>
      <c r="B16" s="72" t="n">
        <v>0</v>
      </c>
      <c r="C16" s="72" t="n">
        <v>0</v>
      </c>
      <c r="D16" s="72" t="n">
        <v>0</v>
      </c>
      <c r="E16" s="72" t="n">
        <v>0</v>
      </c>
      <c r="F16" s="72" t="n">
        <v>0</v>
      </c>
      <c r="G16" s="72" t="n">
        <v>0</v>
      </c>
      <c r="H16" s="72" t="n">
        <v>0</v>
      </c>
      <c r="I16" s="72" t="n">
        <v>0</v>
      </c>
      <c r="J16" s="72" t="n">
        <v>0</v>
      </c>
      <c r="K16" s="72" t="n">
        <v>0</v>
      </c>
      <c r="L16" s="72" t="n">
        <v>0</v>
      </c>
      <c r="M16" s="72" t="n">
        <v>4490</v>
      </c>
      <c r="N16" s="72">
        <f>SUM(B16:M16)</f>
        <v/>
      </c>
    </row>
    <row r="17">
      <c r="A17" s="55" t="inlineStr">
        <is>
          <t>TOTAL SALIDAS DE EFECTIVO</t>
        </is>
      </c>
      <c r="B17" s="74">
        <f>SUM(B11:B16)</f>
        <v/>
      </c>
      <c r="C17" s="74">
        <f>SUM(C11:C16)</f>
        <v/>
      </c>
      <c r="D17" s="74">
        <f>SUM(D11:D16)</f>
        <v/>
      </c>
      <c r="E17" s="74">
        <f>SUM(E11:E16)</f>
        <v/>
      </c>
      <c r="F17" s="74">
        <f>SUM(F11:F16)</f>
        <v/>
      </c>
      <c r="G17" s="74">
        <f>SUM(G11:G16)</f>
        <v/>
      </c>
      <c r="H17" s="74">
        <f>SUM(H11:H16)</f>
        <v/>
      </c>
      <c r="I17" s="74">
        <f>SUM(I11:I16)</f>
        <v/>
      </c>
      <c r="J17" s="74">
        <f>SUM(J11:J16)</f>
        <v/>
      </c>
      <c r="K17" s="74">
        <f>SUM(K11:K16)</f>
        <v/>
      </c>
      <c r="L17" s="74">
        <f>SUM(L11:L16)</f>
        <v/>
      </c>
      <c r="M17" s="74">
        <f>SUM(M11:M16)</f>
        <v/>
      </c>
      <c r="N17" s="74">
        <f>SUM(N11:N16)</f>
        <v/>
      </c>
    </row>
    <row r="18">
      <c r="A18" s="55" t="inlineStr">
        <is>
          <t>SALDO FINAL ACUMULADO EN CAJA (TESORERÍA)</t>
        </is>
      </c>
      <c r="B18" s="75">
        <f>B5+B9-B17</f>
        <v/>
      </c>
      <c r="C18" s="75">
        <f>C5+C9-C17</f>
        <v/>
      </c>
      <c r="D18" s="75">
        <f>D5+D9-D17</f>
        <v/>
      </c>
      <c r="E18" s="75">
        <f>E5+E9-E17</f>
        <v/>
      </c>
      <c r="F18" s="75">
        <f>F5+F9-F17</f>
        <v/>
      </c>
      <c r="G18" s="75">
        <f>G5+G9-G17</f>
        <v/>
      </c>
      <c r="H18" s="75">
        <f>H5+H9-H17</f>
        <v/>
      </c>
      <c r="I18" s="75">
        <f>I5+I9-I17</f>
        <v/>
      </c>
      <c r="J18" s="75">
        <f>J5+J9-J17</f>
        <v/>
      </c>
      <c r="K18" s="75">
        <f>K5+K9-K17</f>
        <v/>
      </c>
      <c r="L18" s="75">
        <f>L5+L9-L17</f>
        <v/>
      </c>
      <c r="M18" s="75">
        <f>M5+M9-M17</f>
        <v/>
      </c>
      <c r="N18" s="75">
        <f>M18</f>
        <v/>
      </c>
    </row>
    <row r="19">
      <c r="A19" s="55" t="inlineStr">
        <is>
          <t>FLUJO NETO MENSUAL (Entradas - Salidas)</t>
        </is>
      </c>
      <c r="B19" s="76">
        <f>B9-B17</f>
        <v/>
      </c>
      <c r="C19" s="76">
        <f>C9-C17</f>
        <v/>
      </c>
      <c r="D19" s="76">
        <f>D9-D17</f>
        <v/>
      </c>
      <c r="E19" s="76">
        <f>E9-E17</f>
        <v/>
      </c>
      <c r="F19" s="76">
        <f>F9-F17</f>
        <v/>
      </c>
      <c r="G19" s="76">
        <f>G9-G17</f>
        <v/>
      </c>
      <c r="H19" s="76">
        <f>H9-H17</f>
        <v/>
      </c>
      <c r="I19" s="76">
        <f>I9-I17</f>
        <v/>
      </c>
      <c r="J19" s="76">
        <f>J9-J17</f>
        <v/>
      </c>
      <c r="K19" s="76">
        <f>K9-K17</f>
        <v/>
      </c>
      <c r="L19" s="76">
        <f>L9-L17</f>
        <v/>
      </c>
      <c r="M19" s="76">
        <f>M9-M17</f>
        <v/>
      </c>
      <c r="N19" s="76">
        <f>N9-N17</f>
        <v/>
      </c>
    </row>
    <row r="22">
      <c r="A22" s="6" t="inlineStr">
        <is>
          <t>INDICADORES CLAVE DE TESORERÍA Y RIESGO FINANCIERO</t>
        </is>
      </c>
    </row>
    <row r="23">
      <c r="A23" s="77" t="inlineStr">
        <is>
          <t>Tasa de Quema de Efectivo Promedio (Burn Rate Pre-operativo M1-M6)</t>
        </is>
      </c>
      <c r="B23" s="78" t="inlineStr">
        <is>
          <t>$12,583 MXN / mes</t>
        </is>
      </c>
      <c r="C23" s="79" t="inlineStr">
        <is>
          <t>Gasto neto de operación mensual previo al cobro de licencias</t>
        </is>
      </c>
    </row>
    <row r="24">
      <c r="A24" s="77" t="inlineStr">
        <is>
          <t>Punto Mínimo de Tesorería en Caja (Mes 6 - Hito INDAUTOR)</t>
        </is>
      </c>
      <c r="B24" s="78" t="inlineStr">
        <is>
          <t>$44,500 MXN</t>
        </is>
      </c>
      <c r="C24" s="79" t="inlineStr">
        <is>
          <t>Colchón mínimo de seguridad antes de la facturación del piloto (37% de capital intacto)</t>
        </is>
      </c>
    </row>
    <row r="25">
      <c r="A25" s="77" t="inlineStr">
        <is>
          <t>Requerimiento Máximo de Capital de Trabajo (Inversión Inicial)</t>
        </is>
      </c>
      <c r="B25" s="78" t="inlineStr">
        <is>
          <t>$120,000 MXN</t>
        </is>
      </c>
      <c r="C25" s="79" t="inlineStr">
        <is>
          <t>Monto suficiente para garantizar solvencia operativa del 100%</t>
        </is>
      </c>
    </row>
    <row r="26">
      <c r="A26" s="77" t="inlineStr">
        <is>
          <t>Superávit de Caja al Cierre del Año 1</t>
        </is>
      </c>
      <c r="B26" s="78" t="inlineStr">
        <is>
          <t>$136,350 MXN</t>
        </is>
      </c>
      <c r="C26" s="79" t="inlineStr">
        <is>
          <t>Fondo de reserva disponible para financiar la expansión en CUCEI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48" customWidth="1" min="2" max="2"/>
    <col width="38" customWidth="1" min="3" max="3"/>
    <col width="44" customWidth="1" min="4" max="4"/>
  </cols>
  <sheetData>
    <row r="1">
      <c r="A1" s="2" t="inlineStr">
        <is>
          <t>ANÁLISIS DE SENSIBILIDAD FINANCIERA Y ESTRÉS DE TESORERÍA — PROYECTO SIGRE</t>
        </is>
      </c>
    </row>
    <row r="2">
      <c r="A2" s="3" t="inlineStr">
        <is>
          <t>Simulación de resiliencia: Escenario Base, Pesimista Cambiario (+15% GCP) y Pesimista Comercial (Retraso 4 meses de cobranza)</t>
        </is>
      </c>
    </row>
    <row r="4">
      <c r="A4" s="4" t="inlineStr">
        <is>
          <t>A. COMPARACIÓN DE ESCENARIOS DE ESTRÉS OPERATIVO Y FINANCIERO (AÑO 1)</t>
        </is>
      </c>
    </row>
    <row r="5">
      <c r="A5" s="8" t="inlineStr">
        <is>
          <t>Parámetro Financiero / Métrica Clave</t>
        </is>
      </c>
      <c r="B5" s="8" t="inlineStr">
        <is>
          <t>Escenario Base (Esperado)</t>
        </is>
      </c>
      <c r="C5" s="8" t="inlineStr">
        <is>
          <t>Escenario Pesimista Cambiario (+15% GCP)</t>
        </is>
      </c>
      <c r="D5" s="8" t="inlineStr">
        <is>
          <t>Escenario Pesimista Comercial (Retraso 4 Meses)</t>
        </is>
      </c>
      <c r="E5" s="8" t="inlineStr">
        <is>
          <t>Evaluación de Resiliencia / Diagnóstico</t>
        </is>
      </c>
    </row>
    <row r="6">
      <c r="A6" s="9" t="inlineStr">
        <is>
          <t>Dependencias Contratadas en Año 1</t>
        </is>
      </c>
      <c r="B6" s="10" t="inlineStr">
        <is>
          <t>5 dependencias</t>
        </is>
      </c>
      <c r="C6" s="10" t="inlineStr">
        <is>
          <t>5 dependencias</t>
        </is>
      </c>
      <c r="D6" s="10" t="inlineStr">
        <is>
          <t>5 dependencias</t>
        </is>
      </c>
      <c r="E6" s="9" t="inlineStr">
        <is>
          <t>Mismo alcance piloto CUTonalá</t>
        </is>
      </c>
    </row>
    <row r="7">
      <c r="A7" s="9" t="inlineStr">
        <is>
          <t>Mes de Cobranza Efectiva de Contratos</t>
        </is>
      </c>
      <c r="B7" s="10" t="inlineStr">
        <is>
          <t>Mes 7 (Arranque Piloto)</t>
        </is>
      </c>
      <c r="C7" s="10" t="inlineStr">
        <is>
          <t>Mes 7 (Arranque Piloto)</t>
        </is>
      </c>
      <c r="D7" s="10" t="inlineStr">
        <is>
          <t>Mes 11 (Retraso de 4 meses de firmas)</t>
        </is>
      </c>
      <c r="E7" s="9" t="inlineStr">
        <is>
          <t>Estrés de morosidad administrativa universitaria</t>
        </is>
      </c>
    </row>
    <row r="8">
      <c r="A8" s="9" t="inlineStr">
        <is>
          <t>Ingresos Totales con IVA Año 1</t>
        </is>
      </c>
      <c r="B8" s="10" t="inlineStr">
        <is>
          <t>$167,910.00</t>
        </is>
      </c>
      <c r="C8" s="10" t="inlineStr">
        <is>
          <t>$167,910.00</t>
        </is>
      </c>
      <c r="D8" s="10" t="inlineStr">
        <is>
          <t>$167,910.00</t>
        </is>
      </c>
      <c r="E8" s="9" t="inlineStr">
        <is>
          <t>Facturación íntegra de 5 dependencias contratadas</t>
        </is>
      </c>
    </row>
    <row r="9">
      <c r="A9" s="9" t="inlineStr">
        <is>
          <t>Costo Anual Infraestructura Cloud GCP</t>
        </is>
      </c>
      <c r="B9" s="10" t="inlineStr">
        <is>
          <t>$6,120.00</t>
        </is>
      </c>
      <c r="C9" s="10" t="inlineStr">
        <is>
          <t>$7,038.00</t>
        </is>
      </c>
      <c r="D9" s="10" t="inlineStr">
        <is>
          <t>$6,120.00</t>
        </is>
      </c>
      <c r="E9" s="9" t="inlineStr">
        <is>
          <t>+15% por paridad peso/dólar en Google Cloud</t>
        </is>
      </c>
    </row>
    <row r="10">
      <c r="A10" s="9" t="inlineStr">
        <is>
          <t>Margen Bruto de Servicio (%)</t>
        </is>
      </c>
      <c r="B10" s="10" t="inlineStr">
        <is>
          <t>95.8%</t>
        </is>
      </c>
      <c r="C10" s="10" t="inlineStr">
        <is>
          <t>95.1%</t>
        </is>
      </c>
      <c r="D10" s="10" t="inlineStr">
        <is>
          <t>95.8%</t>
        </is>
      </c>
      <c r="E10" s="9" t="inlineStr">
        <is>
          <t>Impacto marginal que no compromete rentabilidad</t>
        </is>
      </c>
    </row>
    <row r="11">
      <c r="A11" s="9" t="inlineStr">
        <is>
          <t>Gastos Operativos Fijos y Trámites</t>
        </is>
      </c>
      <c r="B11" s="10" t="inlineStr">
        <is>
          <t>$145,440.00</t>
        </is>
      </c>
      <c r="C11" s="10" t="inlineStr">
        <is>
          <t>$145,440.00</t>
        </is>
      </c>
      <c r="D11" s="10" t="inlineStr">
        <is>
          <t>$145,440.00</t>
        </is>
      </c>
      <c r="E11" s="9" t="inlineStr">
        <is>
          <t>Nóminas técnicas y registro de obra INDAUTOR</t>
        </is>
      </c>
    </row>
    <row r="12">
      <c r="A12" s="9" t="inlineStr">
        <is>
          <t>Total Egresos Operativos Año 1</t>
        </is>
      </c>
      <c r="B12" s="10" t="inlineStr">
        <is>
          <t>$151,560.00</t>
        </is>
      </c>
      <c r="C12" s="10" t="inlineStr">
        <is>
          <t>$152,478.00</t>
        </is>
      </c>
      <c r="D12" s="10" t="inlineStr">
        <is>
          <t>$151,560.00</t>
        </is>
      </c>
      <c r="E12" s="9" t="inlineStr">
        <is>
          <t>Incremento máximo de $918 MXN en todo el año</t>
        </is>
      </c>
    </row>
    <row r="13">
      <c r="A13" s="9" t="inlineStr">
        <is>
          <t>Tasa de Quema de Efectivo (Burn Rate Pre-op)</t>
        </is>
      </c>
      <c r="B13" s="10" t="inlineStr">
        <is>
          <t>$12,583.33 / mes</t>
        </is>
      </c>
      <c r="C13" s="10" t="inlineStr">
        <is>
          <t>$12,660.00 / mes</t>
        </is>
      </c>
      <c r="D13" s="10" t="inlineStr">
        <is>
          <t>$12,583.33 / mes</t>
        </is>
      </c>
      <c r="E13" s="9" t="inlineStr">
        <is>
          <t>Gasto mensual neto estrictamente controlado</t>
        </is>
      </c>
    </row>
    <row r="14">
      <c r="A14" s="55" t="inlineStr">
        <is>
          <t>PUNTO MÍNIMO DE TESORERÍA EN CAJA</t>
        </is>
      </c>
      <c r="B14" s="80" t="inlineStr">
        <is>
          <t>$44,500.00 (Mes 6)</t>
        </is>
      </c>
      <c r="C14" s="80" t="inlineStr">
        <is>
          <t>$43,962.00 (Mes 6)</t>
        </is>
      </c>
      <c r="D14" s="81" t="inlineStr">
        <is>
          <t>$7,470.00 (Mes 10)</t>
        </is>
      </c>
      <c r="E14" s="9" t="inlineStr">
        <is>
          <t>Caja SIEMPRE positiva: resiste 4 meses de mora</t>
        </is>
      </c>
    </row>
    <row r="15">
      <c r="A15" s="9" t="inlineStr">
        <is>
          <t>Colchón Mínimo de Seguridad (% Capital)</t>
        </is>
      </c>
      <c r="B15" s="10" t="inlineStr">
        <is>
          <t>37.1%</t>
        </is>
      </c>
      <c r="C15" s="10" t="inlineStr">
        <is>
          <t>36.6%</t>
        </is>
      </c>
      <c r="D15" s="10" t="inlineStr">
        <is>
          <t>6.2%</t>
        </is>
      </c>
      <c r="E15" s="9" t="inlineStr">
        <is>
          <t>Resiste demoras de firmas sin caer en insolvencia</t>
        </is>
      </c>
    </row>
    <row r="16">
      <c r="A16" s="59" t="inlineStr">
        <is>
          <t>SUPERÁVIT FINAL EN CAJA AL CIERRE DE AÑO 1</t>
        </is>
      </c>
      <c r="B16" s="82" t="inlineStr">
        <is>
          <t>$136,380.00</t>
        </is>
      </c>
      <c r="C16" s="82" t="inlineStr">
        <is>
          <t>$135,462.00</t>
        </is>
      </c>
      <c r="D16" s="82" t="inlineStr">
        <is>
          <t>$136,380.00</t>
        </is>
      </c>
      <c r="E16" s="62" t="inlineStr">
        <is>
          <t>Solvencia asegurada para expansión en CUCEI</t>
        </is>
      </c>
    </row>
    <row r="19">
      <c r="A19" s="4" t="inlineStr">
        <is>
          <t>B. REQUERIMIENTOS TÉCNICOS DE VENTANILLA Y MÉTRICAS DE SATURACIÓN DE SOPORTE</t>
        </is>
      </c>
    </row>
    <row r="20">
      <c r="A20" s="21" t="inlineStr">
        <is>
          <t>Componente / Dimensión</t>
        </is>
      </c>
      <c r="B20" s="21" t="inlineStr">
        <is>
          <t>Requerimiento Técnico Mínimo en Ventanilla</t>
        </is>
      </c>
      <c r="C20" s="21" t="inlineStr">
        <is>
          <t>Métrica / Umbral de Saturación</t>
        </is>
      </c>
      <c r="D20" s="21" t="inlineStr">
        <is>
          <t>Impacto en SLA y Mitigación de Riesgo</t>
        </is>
      </c>
    </row>
    <row r="21">
      <c r="A21" s="55" t="inlineStr">
        <is>
          <t>Hardware de Cómputo en Ventanilla</t>
        </is>
      </c>
      <c r="B21" s="9" t="inlineStr">
        <is>
          <t>CPU 2 núcleos 2.0 GHz (Core i3 4ª gen / AMD Ryzen 3), 4 GB RAM, 500 MB libres</t>
        </is>
      </c>
      <c r="C21" s="9" t="inlineStr">
        <is>
          <t>Compatibilidad con el 98% del parque instalado en UdeG</t>
        </is>
      </c>
      <c r="D21" s="9" t="inlineStr">
        <is>
          <t>Asegura ejecución ágil de PWA con IndexedDB y AES-256 sin retardo</t>
        </is>
      </c>
    </row>
    <row r="22">
      <c r="A22" s="55" t="inlineStr">
        <is>
          <t>Navegador y Conectividad</t>
        </is>
      </c>
      <c r="B22" s="9" t="inlineStr">
        <is>
          <t>Google Chrome v90+, Firefox v88+ o Edge v90+ (con Service Workers)</t>
        </is>
      </c>
      <c r="C22" s="9" t="inlineStr">
        <is>
          <t>Soporte obligatorio de Background Sync API y almacenamiento local</t>
        </is>
      </c>
      <c r="D22" s="9" t="inlineStr">
        <is>
          <t>Garantiza el modo contingencia offline ininterrumpido en horas pico</t>
        </is>
      </c>
    </row>
    <row r="23">
      <c r="A23" s="55" t="inlineStr">
        <is>
          <t>Periféricos de Captura</t>
        </is>
      </c>
      <c r="B23" s="9" t="inlineStr">
        <is>
          <t>Lector óptico USB de código de barras/QR (Plug &amp; Play) o webcam 720p</t>
        </is>
      </c>
      <c r="C23" s="9" t="inlineStr">
        <is>
          <t>Lectura en &lt;1 segundo por credencial</t>
        </is>
      </c>
      <c r="D23" s="9" t="inlineStr">
        <is>
          <t>Reduce el tiempo de atención de 4.5 min a &lt;27 segundos</t>
        </is>
      </c>
    </row>
    <row r="24">
      <c r="A24" s="55" t="inlineStr">
        <is>
          <t>Umbral de Contratación Soporte N1 (Escala)</t>
        </is>
      </c>
      <c r="B24" s="9" t="inlineStr">
        <is>
          <t>Alcanzar 15 dependencias universitarias activas concurrentes</t>
        </is>
      </c>
      <c r="C24" s="9" t="inlineStr">
        <is>
          <t>Métrica de saturación comercial (Trigger Fase 2)</t>
        </is>
      </c>
      <c r="D24" s="9" t="inlineStr">
        <is>
          <t>Evita sobrecargar al Lead DevOps y asegura SLA de respuesta &lt;15 min</t>
        </is>
      </c>
    </row>
    <row r="25">
      <c r="A25" s="55" t="inlineStr">
        <is>
          <t>Umbral de Contratación Soporte N1 (Carga)</t>
        </is>
      </c>
      <c r="B25" s="9" t="inlineStr">
        <is>
          <t>&gt; 20 tickets semanales durante dos semanas consecutivas o respuesta L2 &gt; 25 min</t>
        </is>
      </c>
      <c r="C25" s="9" t="inlineStr">
        <is>
          <t>Métrica de saturación operativa de Mesa de Ayuda</t>
        </is>
      </c>
      <c r="D25" s="9" t="inlineStr">
        <is>
          <t>Garantiza resolución de fallas críticas en &lt;1 hora en ventanillas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2026-10-04T22:08:31Z</dcterms:created>
  <dcterms:modified xmlns:dcterms="http://purl.org/dc/terms/" xmlns:xsi="http://www.w3.org/2001/XMLSchema-instance" xsi:type="dcterms:W3CDTF">2026-10-04T22:08:31Z</dcterms:modified>
</cp:coreProperties>
</file>